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pedientes" sheetId="1" state="visible" r:id="rId3"/>
  </sheets>
  <definedNames>
    <definedName function="false" hidden="true" localSheetId="0" name="_xlnm._FilterDatabase" vbProcedure="false">Expedientes!$A$1:$U$182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<sst xmlns="http://schemas.openxmlformats.org/spreadsheetml/2006/main" count="825" uniqueCount="271">
  <si>
    <t xml:space="preserve">Nº EXPTE</t>
  </si>
  <si>
    <t xml:space="preserve">CLIENTE</t>
  </si>
  <si>
    <t xml:space="preserve">FECHA</t>
  </si>
  <si>
    <t xml:space="preserve">REALIZA</t>
  </si>
  <si>
    <t xml:space="preserve">CONCEPTO</t>
  </si>
  <si>
    <t xml:space="preserve">TIPOGESTION</t>
  </si>
  <si>
    <t xml:space="preserve">ULTIMA GESTION</t>
  </si>
  <si>
    <t xml:space="preserve">Recibido</t>
  </si>
  <si>
    <t xml:space="preserve">GESTION</t>
  </si>
  <si>
    <t xml:space="preserve">IVA</t>
  </si>
  <si>
    <t xml:space="preserve">SUPLIDOS PTES</t>
  </si>
  <si>
    <t xml:space="preserve">SUPLIDOS</t>
  </si>
  <si>
    <t xml:space="preserve">COLAB</t>
  </si>
  <si>
    <t xml:space="preserve">TOTAL</t>
  </si>
  <si>
    <t xml:space="preserve">COBRADO</t>
  </si>
  <si>
    <t xml:space="preserve">PTE</t>
  </si>
  <si>
    <t xml:space="preserve">PERDIDAS</t>
  </si>
  <si>
    <t xml:space="preserve">pag co</t>
  </si>
  <si>
    <t xml:space="preserve">PAGO INMA</t>
  </si>
  <si>
    <t xml:space="preserve">COL</t>
  </si>
  <si>
    <t xml:space="preserve">JOHN ALFREDO RENTERIA ANGULO</t>
  </si>
  <si>
    <t xml:space="preserve">ANDREA/RUBEN</t>
  </si>
  <si>
    <t xml:space="preserve">CITA+CANJE </t>
  </si>
  <si>
    <t xml:space="preserve">TRAFICO</t>
  </si>
  <si>
    <t xml:space="preserve">NO SE HACE. ESPERA RESIDENCIA </t>
  </si>
  <si>
    <t xml:space="preserve">NO HACE</t>
  </si>
  <si>
    <t xml:space="preserve">RUBY CARDENAS CASQUETE</t>
  </si>
  <si>
    <t xml:space="preserve">NO SE HACE ESPERA RESIDENCIA </t>
  </si>
  <si>
    <t xml:space="preserve">NO HACE </t>
  </si>
  <si>
    <t xml:space="preserve">ABDULAYE CHEIKH NDONG</t>
  </si>
  <si>
    <t xml:space="preserve">CRISTINA</t>
  </si>
  <si>
    <t xml:space="preserve">ERROR VIDA LABORAL</t>
  </si>
  <si>
    <t xml:space="preserve">LABORAL</t>
  </si>
  <si>
    <t xml:space="preserve">EFECTIVO R</t>
  </si>
  <si>
    <t xml:space="preserve">SI</t>
  </si>
  <si>
    <t xml:space="preserve">JUAN TAPIA MABANA</t>
  </si>
  <si>
    <t xml:space="preserve">CONSULTA CONVENIO ESPECIAL </t>
  </si>
  <si>
    <t xml:space="preserve">SANDRA MORALES HERNANDEZ</t>
  </si>
  <si>
    <t xml:space="preserve">RUBEN</t>
  </si>
  <si>
    <t xml:space="preserve">BAJA ATUONOMO Y ACLARACIONES FECHAS</t>
  </si>
  <si>
    <t xml:space="preserve">FISCAL</t>
  </si>
  <si>
    <t xml:space="preserve">ABDELHAFID EGHZARDRIK</t>
  </si>
  <si>
    <t xml:space="preserve">MATRICULACION X423ASY</t>
  </si>
  <si>
    <t xml:space="preserve">DANIEL MUYOR AGUILERA</t>
  </si>
  <si>
    <t xml:space="preserve">EQUIVO VALORACION INCAPACIDADES</t>
  </si>
  <si>
    <t xml:space="preserve">FLORIN BENTAN</t>
  </si>
  <si>
    <t xml:space="preserve">INFORME COMPLETO 3332MBV</t>
  </si>
  <si>
    <t xml:space="preserve">ANTONIA LORITE JIMENEZ</t>
  </si>
  <si>
    <t xml:space="preserve">BAJA SELLOS </t>
  </si>
  <si>
    <t xml:space="preserve">MATRICULA </t>
  </si>
  <si>
    <t xml:space="preserve">EXP DUPLICADO </t>
  </si>
  <si>
    <t xml:space="preserve">WILMAN DE JESUS DE MOYA CABRERA</t>
  </si>
  <si>
    <t xml:space="preserve">TRANSFERENCIA 6467LHR</t>
  </si>
  <si>
    <t xml:space="preserve">KINGA KOZMA</t>
  </si>
  <si>
    <t xml:space="preserve">COPIA EXPEDIENTE </t>
  </si>
  <si>
    <t xml:space="preserve">LIDIA AVOMO ONDO NCHAMA</t>
  </si>
  <si>
    <t xml:space="preserve">SOLICITUD NAF</t>
  </si>
  <si>
    <t xml:space="preserve">BINTA MENDY</t>
  </si>
  <si>
    <t xml:space="preserve">AEAT MADRE TRABAJADORA</t>
  </si>
  <si>
    <t xml:space="preserve">AZIZ MAAZOUZ</t>
  </si>
  <si>
    <t xml:space="preserve">TRANSFERENCIA 6015KGT</t>
  </si>
  <si>
    <t xml:space="preserve">BOUBOU SAMBA DIALLO</t>
  </si>
  <si>
    <t xml:space="preserve">INCAPACIDAD TEMPORAL</t>
  </si>
  <si>
    <t xml:space="preserve">EXC</t>
  </si>
  <si>
    <t xml:space="preserve">HASSAN TALEB</t>
  </si>
  <si>
    <t xml:space="preserve">CITA CANJE </t>
  </si>
  <si>
    <t xml:space="preserve">JUAN JOSE MURIANA VARGAS</t>
  </si>
  <si>
    <t xml:space="preserve">PRESTACIÓN POR NACIMIENTO </t>
  </si>
  <si>
    <t xml:space="preserve">IRINA CHZHENKOVA</t>
  </si>
  <si>
    <t xml:space="preserve">ANDREA</t>
  </si>
  <si>
    <t xml:space="preserve">AYUDA VITAL</t>
  </si>
  <si>
    <t xml:space="preserve">VARIOS</t>
  </si>
  <si>
    <t xml:space="preserve">KHADIM DIOUF</t>
  </si>
  <si>
    <t xml:space="preserve">DUPLICADO CARNET POR EXTRAVIO</t>
  </si>
  <si>
    <t xml:space="preserve">MIGUEL ANGEL FERNANDEZ GONZALEZ</t>
  </si>
  <si>
    <t xml:space="preserve">DUPLICADO CARNET POR DETERIORO</t>
  </si>
  <si>
    <t xml:space="preserve">INFORME 5855DFS</t>
  </si>
  <si>
    <t xml:space="preserve">INFORME 3332MBV SE PIDE X2 POR PAGO DEUDA</t>
  </si>
  <si>
    <t xml:space="preserve">TATIANA KOROBEYNIKOVA</t>
  </si>
  <si>
    <t xml:space="preserve">SUBSIDIO POR INSUFICIENCIA CON CARGAS </t>
  </si>
  <si>
    <t xml:space="preserve">BIZUM C</t>
  </si>
  <si>
    <t xml:space="preserve">JUAN MAGAN RODRIGUEZ</t>
  </si>
  <si>
    <t xml:space="preserve">ALTA AGRICULTURA</t>
  </si>
  <si>
    <t xml:space="preserve">FAITH OKUTU</t>
  </si>
  <si>
    <t xml:space="preserve">CERTIFICADOS ASUNTOS SOCIALES</t>
  </si>
  <si>
    <t xml:space="preserve">INMACULADA LOPEZ ACOSTA</t>
  </si>
  <si>
    <t xml:space="preserve">APLAZAMIENTO DEUDAS SEG SOCIAL</t>
  </si>
  <si>
    <t xml:space="preserve">APLAZAMIENTO JA SANCION PERRO</t>
  </si>
  <si>
    <t xml:space="preserve">DRISS BENALLAL</t>
  </si>
  <si>
    <t xml:space="preserve">CANJE PERMISO NO COMUNITARIO </t>
  </si>
  <si>
    <t xml:space="preserve">EL HADJI MAFAL FALL</t>
  </si>
  <si>
    <t xml:space="preserve">RENTA AEAT </t>
  </si>
  <si>
    <t xml:space="preserve">MARIA CIELO FERNADNEZ MORENO</t>
  </si>
  <si>
    <t xml:space="preserve">ANULACION DUPLICIDAD 143</t>
  </si>
  <si>
    <t xml:space="preserve">GONZALEZ PELAYO, S.L.</t>
  </si>
  <si>
    <t xml:space="preserve">AMPLIACION CAPITAL SL</t>
  </si>
  <si>
    <t xml:space="preserve">FRANCISCO JOSE FERNANDEZ SANCHEZ</t>
  </si>
  <si>
    <t xml:space="preserve">TRANSFERENCIA 8635GNY</t>
  </si>
  <si>
    <t xml:space="preserve">TRANSFERENCIA 0700LWG</t>
  </si>
  <si>
    <t xml:space="preserve">SANDRA ALBARRAN QUESADA</t>
  </si>
  <si>
    <t xml:space="preserve">DUPLICADO PC 3142FSL </t>
  </si>
  <si>
    <t xml:space="preserve">FRANCISCO JOSE LOPEZ FERNANDEZ</t>
  </si>
  <si>
    <t xml:space="preserve">LIQUIDACION MODELO 600</t>
  </si>
  <si>
    <t xml:space="preserve">BOUYOUSFI RHIZLANE</t>
  </si>
  <si>
    <t xml:space="preserve">CITA ITV </t>
  </si>
  <si>
    <t xml:space="preserve">DUPLICADO CARNET CONDUCIR </t>
  </si>
  <si>
    <t xml:space="preserve">EKATERINA PERVHINA</t>
  </si>
  <si>
    <t xml:space="preserve">QURAT UL AIN</t>
  </si>
  <si>
    <t xml:space="preserve">INCAPACIDAD </t>
  </si>
  <si>
    <t xml:space="preserve">ANA BUGNARIU</t>
  </si>
  <si>
    <t xml:space="preserve">MARIA JESUS BENAVIDES RIVERA</t>
  </si>
  <si>
    <t xml:space="preserve">DUPLICADO CARNET DE CONDUCIR </t>
  </si>
  <si>
    <t xml:space="preserve">INFORME </t>
  </si>
  <si>
    <t xml:space="preserve">JHON ALFREDO RENTEIRA RUBY CARDENAS</t>
  </si>
  <si>
    <t xml:space="preserve">CITA CANJE COLOMKBIA X2</t>
  </si>
  <si>
    <t xml:space="preserve">MR ANTHONY O´BOYLE</t>
  </si>
  <si>
    <t xml:space="preserve">CANJE BRITANICO</t>
  </si>
  <si>
    <t xml:space="preserve">KEITH HARRIS</t>
  </si>
  <si>
    <t xml:space="preserve">DUMITRU-FLORIN GHITUN</t>
  </si>
  <si>
    <t xml:space="preserve">TRANSFERENCIA3810FHF</t>
  </si>
  <si>
    <t xml:space="preserve">AGUSTIN RAMOS CESPEDES</t>
  </si>
  <si>
    <t xml:space="preserve">TRANSFERENCIA8635GNY</t>
  </si>
  <si>
    <t xml:space="preserve">OUSMANE SOUARE DIALLO</t>
  </si>
  <si>
    <t xml:space="preserve">TRANSFERENCIA SEAT </t>
  </si>
  <si>
    <t xml:space="preserve">ERNESTO FERNANDEZ SANCHEZ</t>
  </si>
  <si>
    <t xml:space="preserve">TRANSFERENCIA MOTOCICLETA </t>
  </si>
  <si>
    <t xml:space="preserve">ERNESTO FERNANDEZ MARTINEZ</t>
  </si>
  <si>
    <t xml:space="preserve">TRANSFERENCIA CICLOMOTOR</t>
  </si>
  <si>
    <t xml:space="preserve">ANASTASIA GRADYUSHKO</t>
  </si>
  <si>
    <t xml:space="preserve">SAMUEL UMEH</t>
  </si>
  <si>
    <t xml:space="preserve">IBOI TUDOSE</t>
  </si>
  <si>
    <t xml:space="preserve">PEDRO DIEGO SERRANO MENDEZ</t>
  </si>
  <si>
    <t xml:space="preserve">SIMONA NICOLETA STANCIU</t>
  </si>
  <si>
    <t xml:space="preserve">MIGUEL ANGEL GERMAN LOPEZ</t>
  </si>
  <si>
    <t xml:space="preserve">ANTONIO JACOB MEDINA GIMENEZ</t>
  </si>
  <si>
    <t xml:space="preserve">ADAMA MENDY</t>
  </si>
  <si>
    <t xml:space="preserve">MADRE TRABAJADORA</t>
  </si>
  <si>
    <t xml:space="preserve">TRANSFERENCIA 3332MBV </t>
  </si>
  <si>
    <t xml:space="preserve">TRSFICO</t>
  </si>
  <si>
    <t xml:space="preserve">MANUEL VITTORIO SCORZA</t>
  </si>
  <si>
    <t xml:space="preserve">CANJE BRITANICO </t>
  </si>
  <si>
    <t xml:space="preserve">OLGA EGORENKO</t>
  </si>
  <si>
    <t xml:space="preserve">CARLOS JUAREZ BONACHERA</t>
  </si>
  <si>
    <t xml:space="preserve">PAUL GHEORGHE BALAN</t>
  </si>
  <si>
    <t xml:space="preserve">MANUEL ROQUE FONSECA FERREIRA DE BASTOS</t>
  </si>
  <si>
    <t xml:space="preserve">MATILDE LOPEZ MANZANO</t>
  </si>
  <si>
    <t xml:space="preserve">MIGUEL IBAÑEZ CANO</t>
  </si>
  <si>
    <t xml:space="preserve">MARIA FERNANDEZ MORENO</t>
  </si>
  <si>
    <t xml:space="preserve">ANA MARIA STANCIU</t>
  </si>
  <si>
    <t xml:space="preserve">TATIANA VORONOVA</t>
  </si>
  <si>
    <t xml:space="preserve">DAVIS ADJEI TURKSON</t>
  </si>
  <si>
    <t xml:space="preserve">BIANCA RALUCA FLOREA PASTINA</t>
  </si>
  <si>
    <t xml:space="preserve">TRANSFERENCIA 6874DZR </t>
  </si>
  <si>
    <t xml:space="preserve">TRANSFERENICA0700LGW TAXI </t>
  </si>
  <si>
    <t xml:space="preserve">JOSE LUIS CALVO LUCIO</t>
  </si>
  <si>
    <t xml:space="preserve">MAMADOU BALDE</t>
  </si>
  <si>
    <t xml:space="preserve">IT </t>
  </si>
  <si>
    <t xml:space="preserve">ELLIS CAROLEY ISELEY</t>
  </si>
  <si>
    <t xml:space="preserve">DAVID STEPHEN ORCHARD</t>
  </si>
  <si>
    <t xml:space="preserve">MARIA LAURA HIDALGO SAVOINI</t>
  </si>
  <si>
    <t xml:space="preserve">JULIO CABEZA RAMOS</t>
  </si>
  <si>
    <t xml:space="preserve">MARIA RUBIO GONZALEZ</t>
  </si>
  <si>
    <t xml:space="preserve">INFORME 6175CBZ</t>
  </si>
  <si>
    <t xml:space="preserve">MARIA JOSE PICON LEDESMA</t>
  </si>
  <si>
    <t xml:space="preserve">JOSE LUIS PICON LEDESMA</t>
  </si>
  <si>
    <t xml:space="preserve">SARA MARIA ORTEGA PICON</t>
  </si>
  <si>
    <t xml:space="preserve">ABDELGHANI EL KHAMSSA</t>
  </si>
  <si>
    <t xml:space="preserve">RAFAEL FRANCISCO VELASCO IRIARTE</t>
  </si>
  <si>
    <t xml:space="preserve">JOAO GOMES</t>
  </si>
  <si>
    <t xml:space="preserve">MARIA DEL PILAR AGUILERA PEINADO</t>
  </si>
  <si>
    <t xml:space="preserve">BENJAMIN HUGO CLARK FEETHAM</t>
  </si>
  <si>
    <t xml:space="preserve">TRANSFERENCIA CA3916AY</t>
  </si>
  <si>
    <t xml:space="preserve">INFORME 2698DKL</t>
  </si>
  <si>
    <t xml:space="preserve">JAMAL SABBEH</t>
  </si>
  <si>
    <t xml:space="preserve">ANA VANESA GARCIA JIMENEZ</t>
  </si>
  <si>
    <t xml:space="preserve">BRIAN PANIAGUA MARTINEZ</t>
  </si>
  <si>
    <t xml:space="preserve">ANNA MALOVA PARAMONOVA</t>
  </si>
  <si>
    <t xml:space="preserve">ALVARO ALCALDE GARCIA FERRES</t>
  </si>
  <si>
    <t xml:space="preserve">JUANA SANTIAGO CORTES</t>
  </si>
  <si>
    <t xml:space="preserve">JOSEFA TRINIDAD SANTIAGO CORTES</t>
  </si>
  <si>
    <t xml:space="preserve">ESTRELLA CORTES RODRIGUEZ</t>
  </si>
  <si>
    <t xml:space="preserve">ANTONIO OLMO VEGA</t>
  </si>
  <si>
    <t xml:space="preserve">DENIS CHIZKENKOV</t>
  </si>
  <si>
    <t xml:space="preserve">MANUEL RODRIGUEZ ESTRABO</t>
  </si>
  <si>
    <t xml:space="preserve">ABDESSAMAD EL AOUAD</t>
  </si>
  <si>
    <t xml:space="preserve">OTILIA RODRIGUEZ MOLINA</t>
  </si>
  <si>
    <t xml:space="preserve">KAMAL SALHI</t>
  </si>
  <si>
    <t xml:space="preserve">ENCARNACION MORENO REQUENA</t>
  </si>
  <si>
    <t xml:space="preserve">INFORME 9922FLV</t>
  </si>
  <si>
    <t xml:space="preserve">CARLOS ESTEBAN ANTEQUERA BALLESTEROS</t>
  </si>
  <si>
    <t xml:space="preserve">IOAN ALEXANDRU STROIA</t>
  </si>
  <si>
    <t xml:space="preserve">MODOU MBAYE</t>
  </si>
  <si>
    <t xml:space="preserve">QASIM GULZAR</t>
  </si>
  <si>
    <t xml:space="preserve">ANA BERMUDEZ AMADOR</t>
  </si>
  <si>
    <t xml:space="preserve">KHADIJA EL MEDDAHI</t>
  </si>
  <si>
    <t xml:space="preserve">CERTIFICADO DIGITAL </t>
  </si>
  <si>
    <t xml:space="preserve">NO</t>
  </si>
  <si>
    <t xml:space="preserve">ASMA EL AMARTI</t>
  </si>
  <si>
    <t xml:space="preserve">RIESGO POR EMBARAZO  + PAGO </t>
  </si>
  <si>
    <t xml:space="preserve">INFORME VEHICULO </t>
  </si>
  <si>
    <t xml:space="preserve">ESTELA DEL CARMEN LOPEZ DURAN</t>
  </si>
  <si>
    <t xml:space="preserve">MONICA QUERT GÓMEZ</t>
  </si>
  <si>
    <t xml:space="preserve">MARCELO RAMOS MAXIMILIANO</t>
  </si>
  <si>
    <t xml:space="preserve">TRANSFERENCIA 9270DWG</t>
  </si>
  <si>
    <t xml:space="preserve">MANUEL GOMEZ MOYA</t>
  </si>
  <si>
    <t xml:space="preserve">TRANSFERENCIA M4344ZH</t>
  </si>
  <si>
    <t xml:space="preserve">DISTINTITO MEDIOAMBIENTAL </t>
  </si>
  <si>
    <t xml:space="preserve">DJOUCOUBA DIALLO</t>
  </si>
  <si>
    <t xml:space="preserve">JESICA SORIANO CARO</t>
  </si>
  <si>
    <t xml:space="preserve">OSCAR HERVAS FELICES</t>
  </si>
  <si>
    <t xml:space="preserve">RAFAEL MUÑOZ RUIZ</t>
  </si>
  <si>
    <t xml:space="preserve">ALICIA MARIA SMERECHINSCI BOGDAN</t>
  </si>
  <si>
    <t xml:space="preserve">CAMBIO DE DATOS POR NACIONALIDAD </t>
  </si>
  <si>
    <t xml:space="preserve">CORINA NOEMI RUIZ MORETA</t>
  </si>
  <si>
    <t xml:space="preserve">ANTONIO PADILLA MOLINA</t>
  </si>
  <si>
    <t xml:space="preserve">ANTONIO JESUS RODRIGUEZ MOLINA</t>
  </si>
  <si>
    <t xml:space="preserve">BABA ALCENE BA BA</t>
  </si>
  <si>
    <t xml:space="preserve">DIEGO NICOLAS MILLAN MARIN</t>
  </si>
  <si>
    <t xml:space="preserve">ERNESTINA MENDES</t>
  </si>
  <si>
    <t xml:space="preserve">ADRIANA GOMES</t>
  </si>
  <si>
    <t xml:space="preserve">CAMBIO DE DATOS EN CARNET DE CONDUCIR </t>
  </si>
  <si>
    <t xml:space="preserve">MAXWELL KWEKU ARTHUR</t>
  </si>
  <si>
    <t xml:space="preserve">CONSOLACION MARTINEZ MUNUERA</t>
  </si>
  <si>
    <t xml:space="preserve">MARIA ISABEL CORTES HEREDIA</t>
  </si>
  <si>
    <t xml:space="preserve">COSMIN DAN BUBLEA</t>
  </si>
  <si>
    <t xml:space="preserve">MARIA MILAGROS PEINADO REYES</t>
  </si>
  <si>
    <t xml:space="preserve">ANTONIO GARCES AMADOR</t>
  </si>
  <si>
    <t xml:space="preserve">FRANCISCO JOSE GARZON FUENTES</t>
  </si>
  <si>
    <t xml:space="preserve">SOPHIE DENISE CLAUDINE REDON</t>
  </si>
  <si>
    <t xml:space="preserve">INFORME 9132FDM /8845FNG/1540FHB</t>
  </si>
  <si>
    <t xml:space="preserve">ANNA IGNATYEVA</t>
  </si>
  <si>
    <t xml:space="preserve">GERALDO ANTONIO MENDES</t>
  </si>
  <si>
    <t xml:space="preserve">KARINA PAOLA ERCOLINI</t>
  </si>
  <si>
    <t xml:space="preserve">CARLOS ENRIQUE BONANNO</t>
  </si>
  <si>
    <t xml:space="preserve">JOSE FERNANDEZ TORTOSA</t>
  </si>
  <si>
    <t xml:space="preserve">MARIA DE LAS MERCEDES FERNANDEZ GOMEZ</t>
  </si>
  <si>
    <t xml:space="preserve">DUPLICADO CARNET </t>
  </si>
  <si>
    <t xml:space="preserve">TRAFCIO</t>
  </si>
  <si>
    <t xml:space="preserve">YAMADOU TOURE</t>
  </si>
  <si>
    <t xml:space="preserve">ALTA INDEBIDA Y RECLAMACION AEAT</t>
  </si>
  <si>
    <t xml:space="preserve">MAURO NDULA DOLE</t>
  </si>
  <si>
    <t xml:space="preserve">RENOVACION CARNET</t>
  </si>
  <si>
    <t xml:space="preserve">IRINA ZAYTSEVA SOTNIKOVA</t>
  </si>
  <si>
    <t xml:space="preserve">IGNACIO RAFAEL ALVAREZ POSADA</t>
  </si>
  <si>
    <t xml:space="preserve">LASSAN MARNA</t>
  </si>
  <si>
    <t xml:space="preserve">AINOA PEINADO JORDAN</t>
  </si>
  <si>
    <t xml:space="preserve">ANTONIO MANUEL CARRICONDO MUÑOZ</t>
  </si>
  <si>
    <t xml:space="preserve">OSCAR MARIN LOPEZ</t>
  </si>
  <si>
    <t xml:space="preserve">RAUL MIHAI SAVESCU</t>
  </si>
  <si>
    <t xml:space="preserve">MR PAUL ANTHONY HOLMES</t>
  </si>
  <si>
    <t xml:space="preserve">MS CHRISTINE GAIL HEYES</t>
  </si>
  <si>
    <t xml:space="preserve">MRS JACQUELINE MARION PLATER</t>
  </si>
  <si>
    <t xml:space="preserve">MR KEVIN WILLIAM PLATER</t>
  </si>
  <si>
    <t xml:space="preserve">ISRAEL JUAREZ BRAVO</t>
  </si>
  <si>
    <t xml:space="preserve">MATRICULACION </t>
  </si>
  <si>
    <t xml:space="preserve">FIRAS CARLOS KHARSA MORENO</t>
  </si>
  <si>
    <t xml:space="preserve">ZACARIAS KHARBACHI JADER</t>
  </si>
  <si>
    <t xml:space="preserve">JUAN JOSE CASADO FERRER</t>
  </si>
  <si>
    <t xml:space="preserve">JOSE MARTIN BENAVIDES</t>
  </si>
  <si>
    <t xml:space="preserve">TRASNFERENCIA5736FRK</t>
  </si>
  <si>
    <t xml:space="preserve">KHALID BOUTGAST</t>
  </si>
  <si>
    <t xml:space="preserve">CITA CANJE NO COMUNITARIO </t>
  </si>
  <si>
    <t xml:space="preserve">MR DAVID JOHN MYLES</t>
  </si>
  <si>
    <t xml:space="preserve">CITA CANJE BRITANICO </t>
  </si>
  <si>
    <t xml:space="preserve">BRIGHT ANANE GASU MOMANYO</t>
  </si>
  <si>
    <t xml:space="preserve">NDEYE FATOU SEYE AW</t>
  </si>
  <si>
    <t xml:space="preserve">TAFSIR MACOUMBA DIPO SEYE</t>
  </si>
  <si>
    <t xml:space="preserve">VALENTYNA PLETNOVA</t>
  </si>
  <si>
    <t xml:space="preserve">VALERIYA PLETNOVA</t>
  </si>
  <si>
    <t xml:space="preserve">JOSE PEINADO FUENTES</t>
  </si>
  <si>
    <t xml:space="preserve">ANTONIO MIGUEL BAÑOS LOZANO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</si>
</sst>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\-mm\-yy"/>
    <numFmt numFmtId="166" formatCode="@"/>
    <numFmt numFmtId="167" formatCode="dd\-mm\-yy;@"/>
    <numFmt numFmtId="168" formatCode="&quot;23&quot;0000"/>
    <numFmt numFmtId="169" formatCode="#,##0.00_ ;[RED]\-#,##0.00\ 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8"/>
      <name val="Arial"/>
      <family val="2"/>
      <charset val="1"/>
    </font>
    <font>
      <b val="true"/>
      <sz val="8"/>
      <color rgb="FFFF0000"/>
      <name val="Arial"/>
      <family val="2"/>
      <charset val="1"/>
    </font>
    <font>
      <sz val="9"/>
      <name val="Arial"/>
      <family val="2"/>
      <charset val="1"/>
    </font>
    <font>
      <sz val="9"/>
      <color rgb="FFFF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0000"/>
        <bgColor rgb="FF9C0006"/>
      </patternFill>
    </fill>
    <fill>
      <patternFill patternType="solid">
        <fgColor rgb="FFFFFF00"/>
        <bgColor rgb="FFFFFF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hair"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7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0" borderId="2" xfId="0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6" fontId="7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7" fillId="0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0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8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7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7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2" borderId="2" xfId="0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6" fontId="7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7" fillId="2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2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8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7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7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3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3" borderId="2" xfId="0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6" fontId="7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7" fillId="3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3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8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7" fillId="3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dxfs count="4">
    <dxf>
      <fill>
        <patternFill patternType="solid">
          <fgColor rgb="FFFF0000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82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D187" activeCellId="0" sqref="D187"/>
    </sheetView>
  </sheetViews>
  <sheetFormatPr defaultColWidth="11.53515625" defaultRowHeight="13.8" zeroHeight="false" outlineLevelRow="0" outlineLevelCol="0"/>
  <cols>
    <col collapsed="false" customWidth="true" hidden="false" outlineLevel="0" max="2" min="2" style="1" width="47.39"/>
    <col collapsed="false" customWidth="true" hidden="false" outlineLevel="0" max="4" min="4" style="1" width="20.58"/>
    <col collapsed="false" customWidth="true" hidden="false" outlineLevel="0" max="5" min="5" style="1" width="21.69"/>
    <col collapsed="false" customWidth="true" hidden="false" outlineLevel="0" max="6" min="6" style="1" width="17.66"/>
    <col collapsed="false" customWidth="true" hidden="false" outlineLevel="0" max="7" min="7" style="1" width="30.46"/>
  </cols>
  <sheetData>
    <row r="1" customFormat="false" ht="20.3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6" t="s">
        <v>16</v>
      </c>
      <c r="R1" s="2" t="s">
        <v>17</v>
      </c>
      <c r="S1" s="2" t="s">
        <v>2</v>
      </c>
      <c r="T1" s="2" t="s">
        <v>18</v>
      </c>
      <c r="U1" s="2" t="s">
        <v>19</v>
      </c>
    </row>
    <row r="2" customFormat="false" ht="12.8" hidden="false" customHeight="false" outlineLevel="0" collapsed="false">
      <c r="A2" s="7" t="n">
        <v>1</v>
      </c>
      <c r="B2" s="8" t="s">
        <v>20</v>
      </c>
      <c r="C2" s="9" t="n">
        <v>44936</v>
      </c>
      <c r="D2" s="9" t="s">
        <v>21</v>
      </c>
      <c r="E2" s="10" t="s">
        <v>22</v>
      </c>
      <c r="F2" s="11" t="s">
        <v>23</v>
      </c>
      <c r="G2" s="12" t="s">
        <v>24</v>
      </c>
      <c r="H2" s="9"/>
      <c r="I2" s="13" t="n">
        <v>0</v>
      </c>
      <c r="J2" s="13"/>
      <c r="K2" s="13"/>
      <c r="L2" s="13" t="n">
        <v>0</v>
      </c>
      <c r="M2" s="13" t="n">
        <v>0</v>
      </c>
      <c r="N2" s="13" t="n">
        <f aca="false">+I2+J2+L2+K2+M2</f>
        <v>0</v>
      </c>
      <c r="O2" s="14"/>
      <c r="P2" s="14" t="n">
        <f aca="false">ROUND(+O2-N2+Q2,2)</f>
        <v>0</v>
      </c>
      <c r="Q2" s="15"/>
      <c r="R2" s="14"/>
      <c r="S2" s="16"/>
      <c r="T2" s="14"/>
      <c r="U2" s="14" t="s">
        <v>25</v>
      </c>
    </row>
    <row r="3" customFormat="false" ht="12.8" hidden="false" customHeight="false" outlineLevel="0" collapsed="false">
      <c r="A3" s="7" t="n">
        <v>2</v>
      </c>
      <c r="B3" s="8" t="s">
        <v>26</v>
      </c>
      <c r="C3" s="9" t="n">
        <v>44936</v>
      </c>
      <c r="D3" s="9" t="s">
        <v>21</v>
      </c>
      <c r="E3" s="10" t="s">
        <v>22</v>
      </c>
      <c r="F3" s="11" t="s">
        <v>23</v>
      </c>
      <c r="G3" s="12" t="s">
        <v>27</v>
      </c>
      <c r="H3" s="9"/>
      <c r="I3" s="13" t="n">
        <v>0</v>
      </c>
      <c r="J3" s="13"/>
      <c r="K3" s="13"/>
      <c r="L3" s="13"/>
      <c r="M3" s="13"/>
      <c r="N3" s="13" t="n">
        <f aca="false">+I3+J3+L3+K3+M3</f>
        <v>0</v>
      </c>
      <c r="O3" s="14"/>
      <c r="P3" s="14" t="n">
        <f aca="false">ROUND(+O3-N3+Q3,2)</f>
        <v>0</v>
      </c>
      <c r="Q3" s="15"/>
      <c r="R3" s="14"/>
      <c r="S3" s="16"/>
      <c r="T3" s="14"/>
      <c r="U3" s="14" t="s">
        <v>28</v>
      </c>
    </row>
    <row r="4" customFormat="false" ht="12.8" hidden="false" customHeight="false" outlineLevel="0" collapsed="false">
      <c r="A4" s="7" t="n">
        <v>3</v>
      </c>
      <c r="B4" s="8" t="s">
        <v>29</v>
      </c>
      <c r="C4" s="9" t="n">
        <v>44936</v>
      </c>
      <c r="D4" s="9" t="s">
        <v>30</v>
      </c>
      <c r="E4" s="10" t="s">
        <v>31</v>
      </c>
      <c r="F4" s="11" t="s">
        <v>32</v>
      </c>
      <c r="G4" s="12"/>
      <c r="H4" s="9"/>
      <c r="I4" s="13" t="n">
        <v>6.25</v>
      </c>
      <c r="J4" s="13"/>
      <c r="K4" s="13"/>
      <c r="L4" s="13"/>
      <c r="M4" s="13" t="n">
        <v>18.75</v>
      </c>
      <c r="N4" s="13" t="n">
        <f aca="false">+I4+J4+L4+K4+M4</f>
        <v>25</v>
      </c>
      <c r="O4" s="14" t="n">
        <v>25</v>
      </c>
      <c r="P4" s="14" t="n">
        <f aca="false">ROUND(+O4-N4+Q4,2)</f>
        <v>0</v>
      </c>
      <c r="Q4" s="15"/>
      <c r="R4" s="14" t="s">
        <v>33</v>
      </c>
      <c r="S4" s="16" t="n">
        <v>44963</v>
      </c>
      <c r="T4" s="14" t="s">
        <v>34</v>
      </c>
      <c r="U4" s="14"/>
    </row>
    <row r="5" customFormat="false" ht="22.35" hidden="false" customHeight="false" outlineLevel="0" collapsed="false">
      <c r="A5" s="7" t="n">
        <v>4</v>
      </c>
      <c r="B5" s="8" t="s">
        <v>35</v>
      </c>
      <c r="C5" s="9" t="n">
        <v>44939</v>
      </c>
      <c r="D5" s="9" t="s">
        <v>30</v>
      </c>
      <c r="E5" s="10" t="s">
        <v>36</v>
      </c>
      <c r="F5" s="11" t="s">
        <v>32</v>
      </c>
      <c r="G5" s="12"/>
      <c r="H5" s="9"/>
      <c r="I5" s="13" t="n">
        <v>7.5</v>
      </c>
      <c r="J5" s="13"/>
      <c r="K5" s="13"/>
      <c r="L5" s="13"/>
      <c r="M5" s="13" t="n">
        <v>22.5</v>
      </c>
      <c r="N5" s="13" t="n">
        <f aca="false">+I5+J5+L5+K5+M5</f>
        <v>30</v>
      </c>
      <c r="O5" s="14" t="n">
        <v>30</v>
      </c>
      <c r="P5" s="14" t="n">
        <f aca="false">ROUND(+O5-N5+Q5,2)</f>
        <v>0</v>
      </c>
      <c r="Q5" s="15"/>
      <c r="R5" s="14" t="s">
        <v>33</v>
      </c>
      <c r="S5" s="16" t="n">
        <v>44963</v>
      </c>
      <c r="T5" s="14" t="s">
        <v>34</v>
      </c>
      <c r="U5" s="14"/>
    </row>
    <row r="6" customFormat="false" ht="22.35" hidden="false" customHeight="false" outlineLevel="0" collapsed="false">
      <c r="A6" s="7" t="n">
        <v>5</v>
      </c>
      <c r="B6" s="8" t="s">
        <v>37</v>
      </c>
      <c r="C6" s="9" t="n">
        <v>44943</v>
      </c>
      <c r="D6" s="9" t="s">
        <v>38</v>
      </c>
      <c r="E6" s="10" t="s">
        <v>39</v>
      </c>
      <c r="F6" s="11" t="s">
        <v>40</v>
      </c>
      <c r="G6" s="12"/>
      <c r="H6" s="9"/>
      <c r="I6" s="13" t="n">
        <v>60</v>
      </c>
      <c r="J6" s="13"/>
      <c r="K6" s="13"/>
      <c r="L6" s="13"/>
      <c r="M6" s="13"/>
      <c r="N6" s="13" t="n">
        <f aca="false">+I6+J6+L6+K6+M6</f>
        <v>60</v>
      </c>
      <c r="O6" s="14" t="n">
        <v>60</v>
      </c>
      <c r="P6" s="14" t="n">
        <f aca="false">ROUND(+O6-N6+Q6,2)</f>
        <v>0</v>
      </c>
      <c r="Q6" s="15"/>
      <c r="R6" s="14"/>
      <c r="S6" s="16"/>
      <c r="T6" s="14"/>
      <c r="U6" s="14"/>
    </row>
    <row r="7" customFormat="false" ht="22.35" hidden="false" customHeight="false" outlineLevel="0" collapsed="false">
      <c r="A7" s="7" t="n">
        <v>6</v>
      </c>
      <c r="B7" s="8" t="s">
        <v>41</v>
      </c>
      <c r="C7" s="9" t="n">
        <v>44943</v>
      </c>
      <c r="D7" s="9" t="s">
        <v>21</v>
      </c>
      <c r="E7" s="10" t="s">
        <v>42</v>
      </c>
      <c r="F7" s="11" t="s">
        <v>23</v>
      </c>
      <c r="G7" s="12"/>
      <c r="H7" s="9"/>
      <c r="I7" s="13" t="n">
        <v>70</v>
      </c>
      <c r="J7" s="13"/>
      <c r="K7" s="13"/>
      <c r="L7" s="13" t="n">
        <v>113.85</v>
      </c>
      <c r="M7" s="13" t="n">
        <v>30</v>
      </c>
      <c r="N7" s="13" t="n">
        <f aca="false">+I7+J7+L7+K7+M7</f>
        <v>213.85</v>
      </c>
      <c r="O7" s="14" t="n">
        <v>213.85</v>
      </c>
      <c r="P7" s="14" t="n">
        <f aca="false">ROUND(+O7-N7+Q7,2)</f>
        <v>0</v>
      </c>
      <c r="Q7" s="15"/>
      <c r="R7" s="14" t="s">
        <v>34</v>
      </c>
      <c r="S7" s="16"/>
      <c r="T7" s="14"/>
      <c r="U7" s="14" t="s">
        <v>34</v>
      </c>
    </row>
    <row r="8" customFormat="false" ht="22.35" hidden="false" customHeight="false" outlineLevel="0" collapsed="false">
      <c r="A8" s="7" t="n">
        <v>7</v>
      </c>
      <c r="B8" s="8" t="s">
        <v>43</v>
      </c>
      <c r="C8" s="9" t="n">
        <v>44944</v>
      </c>
      <c r="D8" s="9" t="s">
        <v>30</v>
      </c>
      <c r="E8" s="10" t="s">
        <v>44</v>
      </c>
      <c r="F8" s="11" t="s">
        <v>32</v>
      </c>
      <c r="G8" s="12"/>
      <c r="H8" s="9"/>
      <c r="I8" s="13" t="n">
        <v>7.5</v>
      </c>
      <c r="J8" s="13"/>
      <c r="K8" s="13"/>
      <c r="L8" s="13"/>
      <c r="M8" s="13" t="n">
        <v>22.5</v>
      </c>
      <c r="N8" s="13" t="n">
        <f aca="false">+I8+J8+L8+K8+M8</f>
        <v>30</v>
      </c>
      <c r="O8" s="14" t="n">
        <v>30</v>
      </c>
      <c r="P8" s="14" t="n">
        <f aca="false">ROUND(+O8-N8+Q8,2)</f>
        <v>0</v>
      </c>
      <c r="Q8" s="15"/>
      <c r="R8" s="14" t="s">
        <v>33</v>
      </c>
      <c r="S8" s="16" t="n">
        <v>44963</v>
      </c>
      <c r="T8" s="14" t="s">
        <v>34</v>
      </c>
      <c r="U8" s="14"/>
    </row>
    <row r="9" customFormat="false" ht="22.35" hidden="false" customHeight="false" outlineLevel="0" collapsed="false">
      <c r="A9" s="7" t="n">
        <v>8</v>
      </c>
      <c r="B9" s="8" t="s">
        <v>45</v>
      </c>
      <c r="C9" s="9" t="n">
        <v>44944</v>
      </c>
      <c r="D9" s="9" t="s">
        <v>21</v>
      </c>
      <c r="E9" s="10" t="s">
        <v>46</v>
      </c>
      <c r="F9" s="11" t="s">
        <v>23</v>
      </c>
      <c r="G9" s="12"/>
      <c r="H9" s="9"/>
      <c r="I9" s="13" t="n">
        <v>5</v>
      </c>
      <c r="J9" s="13"/>
      <c r="K9" s="13"/>
      <c r="L9" s="13" t="n">
        <v>11.8</v>
      </c>
      <c r="M9" s="13" t="n">
        <v>3</v>
      </c>
      <c r="N9" s="13" t="n">
        <f aca="false">+I9+J9+L9+K9+M9</f>
        <v>19.8</v>
      </c>
      <c r="O9" s="14"/>
      <c r="P9" s="14" t="n">
        <f aca="false">ROUND(+O9-N9+Q9,2)</f>
        <v>-19.8</v>
      </c>
      <c r="Q9" s="15"/>
      <c r="R9" s="14"/>
      <c r="S9" s="16"/>
      <c r="T9" s="14"/>
      <c r="U9" s="14"/>
    </row>
    <row r="10" customFormat="false" ht="12.8" hidden="false" customHeight="false" outlineLevel="0" collapsed="false">
      <c r="A10" s="7" t="n">
        <v>9</v>
      </c>
      <c r="B10" s="8" t="s">
        <v>47</v>
      </c>
      <c r="C10" s="9" t="n">
        <v>44949</v>
      </c>
      <c r="D10" s="9" t="s">
        <v>21</v>
      </c>
      <c r="E10" s="10" t="s">
        <v>48</v>
      </c>
      <c r="F10" s="11" t="s">
        <v>32</v>
      </c>
      <c r="G10" s="12"/>
      <c r="H10" s="9"/>
      <c r="I10" s="13" t="n">
        <v>20</v>
      </c>
      <c r="J10" s="13"/>
      <c r="K10" s="13"/>
      <c r="L10" s="13"/>
      <c r="M10" s="13" t="n">
        <v>10</v>
      </c>
      <c r="N10" s="13" t="n">
        <f aca="false">+I10+J10+L10+K10+M10</f>
        <v>30</v>
      </c>
      <c r="O10" s="14"/>
      <c r="P10" s="14" t="n">
        <f aca="false">ROUND(+O10-N10+Q10,2)</f>
        <v>-30</v>
      </c>
      <c r="Q10" s="15"/>
      <c r="R10" s="14"/>
      <c r="S10" s="16"/>
      <c r="T10" s="14"/>
      <c r="U10" s="14"/>
    </row>
    <row r="11" s="27" customFormat="true" ht="12.8" hidden="false" customHeight="false" outlineLevel="0" collapsed="false">
      <c r="A11" s="17" t="n">
        <v>10</v>
      </c>
      <c r="B11" s="18" t="s">
        <v>41</v>
      </c>
      <c r="C11" s="19" t="n">
        <v>44950</v>
      </c>
      <c r="D11" s="19" t="s">
        <v>21</v>
      </c>
      <c r="E11" s="20" t="s">
        <v>49</v>
      </c>
      <c r="F11" s="21" t="s">
        <v>23</v>
      </c>
      <c r="G11" s="22" t="s">
        <v>50</v>
      </c>
      <c r="H11" s="19" t="n">
        <v>44591</v>
      </c>
      <c r="I11" s="23" t="n">
        <v>0</v>
      </c>
      <c r="J11" s="23"/>
      <c r="K11" s="23"/>
      <c r="L11" s="23" t="n">
        <v>0</v>
      </c>
      <c r="M11" s="23"/>
      <c r="N11" s="23" t="n">
        <f aca="false">+I11+J11+L11+K11+M11</f>
        <v>0</v>
      </c>
      <c r="O11" s="24"/>
      <c r="P11" s="24" t="n">
        <f aca="false">ROUND(+O11-N11+Q11,2)</f>
        <v>0</v>
      </c>
      <c r="Q11" s="25"/>
      <c r="R11" s="24" t="s">
        <v>34</v>
      </c>
      <c r="S11" s="26"/>
      <c r="T11" s="24"/>
      <c r="U11" s="24" t="s">
        <v>34</v>
      </c>
    </row>
    <row r="12" s="38" customFormat="true" ht="12.8" hidden="false" customHeight="false" outlineLevel="0" collapsed="false">
      <c r="A12" s="28" t="n">
        <v>11</v>
      </c>
      <c r="B12" s="29" t="s">
        <v>51</v>
      </c>
      <c r="C12" s="30" t="n">
        <v>44956</v>
      </c>
      <c r="D12" s="30" t="s">
        <v>21</v>
      </c>
      <c r="E12" s="31" t="s">
        <v>52</v>
      </c>
      <c r="F12" s="32" t="s">
        <v>23</v>
      </c>
      <c r="G12" s="33"/>
      <c r="H12" s="30"/>
      <c r="I12" s="34" t="n">
        <v>45</v>
      </c>
      <c r="J12" s="34"/>
      <c r="K12" s="34"/>
      <c r="L12" s="34" t="n">
        <v>102.78</v>
      </c>
      <c r="M12" s="34" t="n">
        <v>15</v>
      </c>
      <c r="N12" s="34" t="n">
        <f aca="false">+I12+J12+L12+K12+M12</f>
        <v>162.78</v>
      </c>
      <c r="O12" s="35" t="n">
        <v>162.78</v>
      </c>
      <c r="P12" s="35" t="n">
        <f aca="false">ROUND(+O12-N12+Q12,2)</f>
        <v>0</v>
      </c>
      <c r="Q12" s="36"/>
      <c r="R12" s="35" t="s">
        <v>34</v>
      </c>
      <c r="S12" s="37"/>
      <c r="T12" s="35"/>
      <c r="U12" s="35"/>
    </row>
    <row r="13" customFormat="false" ht="12.8" hidden="false" customHeight="false" outlineLevel="0" collapsed="false">
      <c r="A13" s="7" t="n">
        <v>12</v>
      </c>
      <c r="B13" s="8" t="s">
        <v>53</v>
      </c>
      <c r="C13" s="9" t="n">
        <v>44957</v>
      </c>
      <c r="D13" s="9" t="s">
        <v>21</v>
      </c>
      <c r="E13" s="10" t="s">
        <v>54</v>
      </c>
      <c r="F13" s="11" t="s">
        <v>23</v>
      </c>
      <c r="G13" s="12"/>
      <c r="H13" s="9"/>
      <c r="I13" s="13"/>
      <c r="J13" s="13"/>
      <c r="K13" s="13"/>
      <c r="L13" s="13"/>
      <c r="M13" s="13"/>
      <c r="N13" s="13" t="n">
        <f aca="false">+I13+J13+L13+K13+M13</f>
        <v>0</v>
      </c>
      <c r="O13" s="14"/>
      <c r="P13" s="14" t="n">
        <f aca="false">ROUND(+O13-N13+Q13,2)</f>
        <v>0</v>
      </c>
      <c r="Q13" s="15"/>
      <c r="R13" s="14" t="s">
        <v>34</v>
      </c>
      <c r="S13" s="16"/>
      <c r="T13" s="14"/>
      <c r="U13" s="14"/>
    </row>
    <row r="14" customFormat="false" ht="12.8" hidden="false" customHeight="false" outlineLevel="0" collapsed="false">
      <c r="A14" s="7" t="n">
        <v>15</v>
      </c>
      <c r="B14" s="8" t="s">
        <v>55</v>
      </c>
      <c r="C14" s="9" t="n">
        <v>44965</v>
      </c>
      <c r="D14" s="9" t="s">
        <v>38</v>
      </c>
      <c r="E14" s="10" t="s">
        <v>56</v>
      </c>
      <c r="F14" s="11" t="s">
        <v>32</v>
      </c>
      <c r="G14" s="12"/>
      <c r="H14" s="9"/>
      <c r="I14" s="13" t="n">
        <v>20</v>
      </c>
      <c r="J14" s="13"/>
      <c r="K14" s="13"/>
      <c r="L14" s="13"/>
      <c r="M14" s="13"/>
      <c r="N14" s="13" t="n">
        <f aca="false">+I14+J14+L14+K14+M14</f>
        <v>20</v>
      </c>
      <c r="O14" s="14" t="n">
        <v>20</v>
      </c>
      <c r="P14" s="14" t="n">
        <f aca="false">ROUND(+O14-N14+Q14,2)</f>
        <v>0</v>
      </c>
      <c r="Q14" s="15"/>
      <c r="R14" s="14"/>
      <c r="S14" s="16"/>
      <c r="T14" s="14"/>
      <c r="U14" s="14"/>
    </row>
    <row r="15" customFormat="false" ht="22.35" hidden="false" customHeight="false" outlineLevel="0" collapsed="false">
      <c r="A15" s="7" t="n">
        <v>16</v>
      </c>
      <c r="B15" s="8" t="s">
        <v>57</v>
      </c>
      <c r="C15" s="9" t="n">
        <v>44965</v>
      </c>
      <c r="D15" s="9" t="s">
        <v>38</v>
      </c>
      <c r="E15" s="10" t="s">
        <v>58</v>
      </c>
      <c r="F15" s="11" t="s">
        <v>40</v>
      </c>
      <c r="G15" s="12"/>
      <c r="H15" s="9"/>
      <c r="I15" s="13" t="n">
        <v>20</v>
      </c>
      <c r="J15" s="13"/>
      <c r="K15" s="13"/>
      <c r="L15" s="13"/>
      <c r="M15" s="13"/>
      <c r="N15" s="13" t="n">
        <f aca="false">+I15+J15+L15+K15+M15</f>
        <v>20</v>
      </c>
      <c r="O15" s="14" t="n">
        <v>20</v>
      </c>
      <c r="P15" s="14" t="n">
        <f aca="false">ROUND(+O15-N15+Q15,2)</f>
        <v>0</v>
      </c>
      <c r="Q15" s="15"/>
      <c r="R15" s="14"/>
      <c r="S15" s="16"/>
      <c r="T15" s="14"/>
      <c r="U15" s="14"/>
    </row>
    <row r="16" customFormat="false" ht="22.35" hidden="false" customHeight="false" outlineLevel="0" collapsed="false">
      <c r="A16" s="7" t="n">
        <v>17</v>
      </c>
      <c r="B16" s="8" t="s">
        <v>59</v>
      </c>
      <c r="C16" s="9" t="n">
        <v>44965</v>
      </c>
      <c r="D16" s="9" t="s">
        <v>21</v>
      </c>
      <c r="E16" s="10" t="s">
        <v>60</v>
      </c>
      <c r="F16" s="11" t="s">
        <v>23</v>
      </c>
      <c r="G16" s="12"/>
      <c r="H16" s="9"/>
      <c r="I16" s="13" t="n">
        <v>45</v>
      </c>
      <c r="J16" s="13"/>
      <c r="K16" s="13"/>
      <c r="L16" s="13" t="n">
        <v>97.26</v>
      </c>
      <c r="M16" s="13" t="n">
        <v>15</v>
      </c>
      <c r="N16" s="13" t="n">
        <f aca="false">+I16+J16+L16+K16+M16</f>
        <v>157.26</v>
      </c>
      <c r="O16" s="14" t="n">
        <v>157.26</v>
      </c>
      <c r="P16" s="14" t="n">
        <f aca="false">ROUND(+O16-N16+Q16,2)</f>
        <v>0</v>
      </c>
      <c r="Q16" s="15"/>
      <c r="R16" s="14" t="s">
        <v>34</v>
      </c>
      <c r="S16" s="16"/>
      <c r="T16" s="14"/>
      <c r="U16" s="14"/>
    </row>
    <row r="17" customFormat="false" ht="12.8" hidden="false" customHeight="false" outlineLevel="0" collapsed="false">
      <c r="A17" s="7" t="n">
        <v>18</v>
      </c>
      <c r="B17" s="8" t="s">
        <v>61</v>
      </c>
      <c r="C17" s="9" t="n">
        <v>44965</v>
      </c>
      <c r="D17" s="9" t="s">
        <v>30</v>
      </c>
      <c r="E17" s="10" t="s">
        <v>62</v>
      </c>
      <c r="F17" s="11" t="s">
        <v>32</v>
      </c>
      <c r="G17" s="12"/>
      <c r="H17" s="9"/>
      <c r="I17" s="13" t="n">
        <v>8.75</v>
      </c>
      <c r="J17" s="13"/>
      <c r="K17" s="13"/>
      <c r="L17" s="13"/>
      <c r="M17" s="13" t="n">
        <v>26.25</v>
      </c>
      <c r="N17" s="13" t="n">
        <f aca="false">+I17+J17+L17+K17+M17</f>
        <v>35</v>
      </c>
      <c r="O17" s="14" t="n">
        <v>35</v>
      </c>
      <c r="P17" s="14" t="n">
        <f aca="false">ROUND(+O17-N17+Q17,2)</f>
        <v>0</v>
      </c>
      <c r="Q17" s="15"/>
      <c r="R17" s="14" t="s">
        <v>33</v>
      </c>
      <c r="S17" s="16"/>
      <c r="T17" s="14" t="s">
        <v>34</v>
      </c>
      <c r="U17" s="14" t="s">
        <v>63</v>
      </c>
    </row>
    <row r="18" customFormat="false" ht="12.8" hidden="false" customHeight="false" outlineLevel="0" collapsed="false">
      <c r="A18" s="7" t="n">
        <v>19</v>
      </c>
      <c r="B18" s="8" t="s">
        <v>64</v>
      </c>
      <c r="C18" s="9" t="n">
        <v>44965</v>
      </c>
      <c r="D18" s="9" t="s">
        <v>21</v>
      </c>
      <c r="E18" s="10" t="s">
        <v>65</v>
      </c>
      <c r="F18" s="11" t="s">
        <v>23</v>
      </c>
      <c r="G18" s="12"/>
      <c r="H18" s="9"/>
      <c r="I18" s="13" t="n">
        <v>7</v>
      </c>
      <c r="J18" s="13"/>
      <c r="K18" s="13"/>
      <c r="L18" s="13" t="n">
        <v>25</v>
      </c>
      <c r="M18" s="13" t="n">
        <v>3</v>
      </c>
      <c r="N18" s="13" t="n">
        <f aca="false">+I18+J18+L18+K18+M18</f>
        <v>35</v>
      </c>
      <c r="O18" s="14" t="n">
        <v>35</v>
      </c>
      <c r="P18" s="14" t="n">
        <f aca="false">ROUND(+O18-N18+Q18,2)</f>
        <v>0</v>
      </c>
      <c r="Q18" s="15"/>
      <c r="R18" s="14" t="s">
        <v>34</v>
      </c>
      <c r="S18" s="16"/>
      <c r="T18" s="14"/>
      <c r="U18" s="14"/>
    </row>
    <row r="19" customFormat="false" ht="22.35" hidden="false" customHeight="false" outlineLevel="0" collapsed="false">
      <c r="A19" s="7" t="n">
        <v>20</v>
      </c>
      <c r="B19" s="8" t="s">
        <v>66</v>
      </c>
      <c r="C19" s="9" t="n">
        <v>44966</v>
      </c>
      <c r="D19" s="9" t="s">
        <v>30</v>
      </c>
      <c r="E19" s="10" t="s">
        <v>67</v>
      </c>
      <c r="F19" s="11" t="s">
        <v>32</v>
      </c>
      <c r="G19" s="12"/>
      <c r="H19" s="9"/>
      <c r="I19" s="13" t="n">
        <v>7.5</v>
      </c>
      <c r="J19" s="13"/>
      <c r="K19" s="13"/>
      <c r="L19" s="13"/>
      <c r="M19" s="13" t="n">
        <v>22.5</v>
      </c>
      <c r="N19" s="13" t="n">
        <f aca="false">+I19+J19+L19+K19+M19</f>
        <v>30</v>
      </c>
      <c r="O19" s="14"/>
      <c r="P19" s="14" t="n">
        <f aca="false">ROUND(+O19-N19+Q19,2)</f>
        <v>-30</v>
      </c>
      <c r="Q19" s="15"/>
      <c r="R19" s="14"/>
      <c r="S19" s="16"/>
      <c r="T19" s="14"/>
      <c r="U19" s="14"/>
    </row>
    <row r="20" customFormat="false" ht="12.8" hidden="false" customHeight="false" outlineLevel="0" collapsed="false">
      <c r="A20" s="7" t="n">
        <v>22</v>
      </c>
      <c r="B20" s="8" t="s">
        <v>68</v>
      </c>
      <c r="C20" s="9" t="n">
        <v>44967</v>
      </c>
      <c r="D20" s="9" t="s">
        <v>69</v>
      </c>
      <c r="E20" s="10" t="s">
        <v>70</v>
      </c>
      <c r="F20" s="11" t="s">
        <v>71</v>
      </c>
      <c r="G20" s="12"/>
      <c r="H20" s="9"/>
      <c r="I20" s="13" t="n">
        <v>35</v>
      </c>
      <c r="J20" s="13"/>
      <c r="K20" s="13"/>
      <c r="L20" s="13"/>
      <c r="M20" s="13"/>
      <c r="N20" s="13" t="n">
        <f aca="false">+I20+J20+L20+K20+M20</f>
        <v>35</v>
      </c>
      <c r="O20" s="14" t="n">
        <v>35</v>
      </c>
      <c r="P20" s="14" t="n">
        <f aca="false">ROUND(+O20-N20+Q20,2)</f>
        <v>0</v>
      </c>
      <c r="Q20" s="15"/>
      <c r="R20" s="14"/>
      <c r="S20" s="16"/>
      <c r="T20" s="14"/>
      <c r="U20" s="14"/>
    </row>
    <row r="21" customFormat="false" ht="22.35" hidden="false" customHeight="false" outlineLevel="0" collapsed="false">
      <c r="A21" s="7" t="n">
        <v>23</v>
      </c>
      <c r="B21" s="8" t="s">
        <v>72</v>
      </c>
      <c r="C21" s="9" t="n">
        <v>44970</v>
      </c>
      <c r="D21" s="9" t="s">
        <v>21</v>
      </c>
      <c r="E21" s="10" t="s">
        <v>73</v>
      </c>
      <c r="F21" s="11" t="s">
        <v>23</v>
      </c>
      <c r="G21" s="12"/>
      <c r="H21" s="9"/>
      <c r="I21" s="13" t="n">
        <v>30</v>
      </c>
      <c r="J21" s="13"/>
      <c r="K21" s="13"/>
      <c r="L21" s="13" t="n">
        <v>23.03</v>
      </c>
      <c r="M21" s="13" t="n">
        <v>10</v>
      </c>
      <c r="N21" s="13" t="n">
        <f aca="false">+I21+J21+L21+K21+M21</f>
        <v>63.03</v>
      </c>
      <c r="O21" s="14" t="n">
        <v>63.03</v>
      </c>
      <c r="P21" s="14" t="n">
        <f aca="false">ROUND(+O21-N21+Q21,2)</f>
        <v>0</v>
      </c>
      <c r="Q21" s="15"/>
      <c r="R21" s="14" t="s">
        <v>34</v>
      </c>
      <c r="S21" s="16"/>
      <c r="T21" s="14"/>
      <c r="U21" s="14"/>
    </row>
    <row r="22" customFormat="false" ht="22.35" hidden="false" customHeight="false" outlineLevel="0" collapsed="false">
      <c r="A22" s="7" t="n">
        <v>24</v>
      </c>
      <c r="B22" s="8" t="s">
        <v>74</v>
      </c>
      <c r="C22" s="9" t="n">
        <v>44970</v>
      </c>
      <c r="D22" s="9" t="s">
        <v>21</v>
      </c>
      <c r="E22" s="10" t="s">
        <v>75</v>
      </c>
      <c r="F22" s="11" t="s">
        <v>23</v>
      </c>
      <c r="G22" s="12"/>
      <c r="H22" s="9"/>
      <c r="I22" s="13" t="n">
        <v>30</v>
      </c>
      <c r="J22" s="13"/>
      <c r="K22" s="13"/>
      <c r="L22" s="13" t="n">
        <v>23.03</v>
      </c>
      <c r="M22" s="13" t="n">
        <v>10</v>
      </c>
      <c r="N22" s="13" t="n">
        <f aca="false">+I22+J22+L22+K22+M22</f>
        <v>63.03</v>
      </c>
      <c r="O22" s="14" t="n">
        <v>63.03</v>
      </c>
      <c r="P22" s="14" t="n">
        <f aca="false">ROUND(+O22-N22+Q22,2)</f>
        <v>0</v>
      </c>
      <c r="Q22" s="15"/>
      <c r="R22" s="14" t="s">
        <v>34</v>
      </c>
      <c r="S22" s="16"/>
      <c r="T22" s="14"/>
      <c r="U22" s="14"/>
    </row>
    <row r="23" customFormat="false" ht="12.8" hidden="false" customHeight="false" outlineLevel="0" collapsed="false">
      <c r="A23" s="7" t="n">
        <v>25</v>
      </c>
      <c r="B23" s="8" t="s">
        <v>45</v>
      </c>
      <c r="C23" s="9" t="n">
        <v>44970</v>
      </c>
      <c r="D23" s="9" t="s">
        <v>21</v>
      </c>
      <c r="E23" s="10" t="s">
        <v>76</v>
      </c>
      <c r="F23" s="11" t="s">
        <v>23</v>
      </c>
      <c r="G23" s="12"/>
      <c r="H23" s="9"/>
      <c r="I23" s="13" t="n">
        <v>7</v>
      </c>
      <c r="J23" s="13"/>
      <c r="K23" s="13"/>
      <c r="L23" s="13" t="n">
        <v>11.8</v>
      </c>
      <c r="M23" s="13" t="n">
        <v>2.3</v>
      </c>
      <c r="N23" s="13" t="n">
        <f aca="false">+I23+J23+L23+K23+M23</f>
        <v>21.1</v>
      </c>
      <c r="O23" s="14"/>
      <c r="P23" s="14" t="n">
        <f aca="false">ROUND(+O23-N23+Q23,2)</f>
        <v>-21.1</v>
      </c>
      <c r="Q23" s="15"/>
      <c r="R23" s="14" t="s">
        <v>34</v>
      </c>
      <c r="S23" s="16"/>
      <c r="T23" s="14"/>
      <c r="U23" s="14"/>
    </row>
    <row r="24" customFormat="false" ht="32.55" hidden="false" customHeight="false" outlineLevel="0" collapsed="false">
      <c r="A24" s="7" t="n">
        <v>26</v>
      </c>
      <c r="B24" s="8" t="s">
        <v>45</v>
      </c>
      <c r="C24" s="9" t="n">
        <v>44970</v>
      </c>
      <c r="D24" s="9" t="s">
        <v>21</v>
      </c>
      <c r="E24" s="10" t="s">
        <v>77</v>
      </c>
      <c r="F24" s="11" t="s">
        <v>23</v>
      </c>
      <c r="G24" s="12"/>
      <c r="H24" s="9"/>
      <c r="I24" s="13"/>
      <c r="J24" s="13"/>
      <c r="K24" s="13"/>
      <c r="L24" s="13"/>
      <c r="M24" s="13"/>
      <c r="N24" s="13" t="n">
        <f aca="false">+I24+J24+L24+K24+M24</f>
        <v>0</v>
      </c>
      <c r="O24" s="14"/>
      <c r="P24" s="14" t="n">
        <f aca="false">ROUND(+O24-N24+Q24,2)</f>
        <v>0</v>
      </c>
      <c r="Q24" s="15"/>
      <c r="R24" s="14" t="s">
        <v>34</v>
      </c>
      <c r="S24" s="16"/>
      <c r="T24" s="14"/>
      <c r="U24" s="14"/>
    </row>
    <row r="25" customFormat="false" ht="32.55" hidden="false" customHeight="false" outlineLevel="0" collapsed="false">
      <c r="A25" s="7" t="n">
        <v>27</v>
      </c>
      <c r="B25" s="8" t="s">
        <v>78</v>
      </c>
      <c r="C25" s="9" t="n">
        <v>44970</v>
      </c>
      <c r="D25" s="9" t="s">
        <v>30</v>
      </c>
      <c r="E25" s="10" t="s">
        <v>79</v>
      </c>
      <c r="F25" s="11" t="s">
        <v>32</v>
      </c>
      <c r="G25" s="12"/>
      <c r="H25" s="9"/>
      <c r="I25" s="13" t="n">
        <v>11.25</v>
      </c>
      <c r="J25" s="13"/>
      <c r="K25" s="13"/>
      <c r="L25" s="13"/>
      <c r="M25" s="13" t="n">
        <v>33.75</v>
      </c>
      <c r="N25" s="13" t="n">
        <f aca="false">+I25+J25+L25+K25+M25</f>
        <v>45</v>
      </c>
      <c r="O25" s="14" t="n">
        <v>45</v>
      </c>
      <c r="P25" s="14" t="n">
        <f aca="false">ROUND(+O25-N25+Q25,2)</f>
        <v>0</v>
      </c>
      <c r="Q25" s="15"/>
      <c r="R25" s="14" t="s">
        <v>80</v>
      </c>
      <c r="S25" s="16" t="n">
        <v>44974</v>
      </c>
      <c r="T25" s="14" t="s">
        <v>34</v>
      </c>
      <c r="U25" s="14" t="s">
        <v>63</v>
      </c>
    </row>
    <row r="26" customFormat="false" ht="12.8" hidden="false" customHeight="false" outlineLevel="0" collapsed="false">
      <c r="A26" s="7" t="n">
        <v>28</v>
      </c>
      <c r="B26" s="8" t="s">
        <v>81</v>
      </c>
      <c r="C26" s="9" t="n">
        <v>44972</v>
      </c>
      <c r="D26" s="9" t="s">
        <v>38</v>
      </c>
      <c r="E26" s="10" t="s">
        <v>82</v>
      </c>
      <c r="F26" s="11" t="s">
        <v>40</v>
      </c>
      <c r="G26" s="12"/>
      <c r="H26" s="9"/>
      <c r="I26" s="13" t="n">
        <v>60</v>
      </c>
      <c r="J26" s="13"/>
      <c r="K26" s="13"/>
      <c r="L26" s="13"/>
      <c r="M26" s="13"/>
      <c r="N26" s="13" t="n">
        <f aca="false">+I26+J26+L26+K26+M26</f>
        <v>60</v>
      </c>
      <c r="O26" s="14" t="n">
        <v>60</v>
      </c>
      <c r="P26" s="14" t="n">
        <f aca="false">ROUND(+O26-N26+Q26,2)</f>
        <v>0</v>
      </c>
      <c r="Q26" s="15"/>
      <c r="R26" s="14"/>
      <c r="S26" s="16"/>
      <c r="T26" s="14"/>
      <c r="U26" s="14"/>
    </row>
    <row r="27" customFormat="false" ht="22.35" hidden="false" customHeight="false" outlineLevel="0" collapsed="false">
      <c r="A27" s="7" t="n">
        <v>29</v>
      </c>
      <c r="B27" s="8" t="s">
        <v>83</v>
      </c>
      <c r="C27" s="9" t="n">
        <v>44973</v>
      </c>
      <c r="D27" s="9" t="s">
        <v>38</v>
      </c>
      <c r="E27" s="10" t="s">
        <v>84</v>
      </c>
      <c r="F27" s="11" t="s">
        <v>71</v>
      </c>
      <c r="G27" s="12"/>
      <c r="H27" s="9"/>
      <c r="I27" s="13" t="n">
        <v>40</v>
      </c>
      <c r="J27" s="13"/>
      <c r="K27" s="13"/>
      <c r="L27" s="13"/>
      <c r="M27" s="13"/>
      <c r="N27" s="13" t="n">
        <f aca="false">+I27+J27+L27+K27+M27</f>
        <v>40</v>
      </c>
      <c r="O27" s="14" t="n">
        <v>40</v>
      </c>
      <c r="P27" s="14" t="n">
        <f aca="false">ROUND(+O27-N27+Q27,2)</f>
        <v>0</v>
      </c>
      <c r="Q27" s="15"/>
      <c r="R27" s="14"/>
      <c r="S27" s="16"/>
      <c r="T27" s="14"/>
      <c r="U27" s="14"/>
    </row>
    <row r="28" customFormat="false" ht="22.35" hidden="false" customHeight="false" outlineLevel="0" collapsed="false">
      <c r="A28" s="7" t="n">
        <v>30</v>
      </c>
      <c r="B28" s="8" t="s">
        <v>85</v>
      </c>
      <c r="C28" s="9" t="n">
        <v>44973</v>
      </c>
      <c r="D28" s="9" t="s">
        <v>38</v>
      </c>
      <c r="E28" s="10" t="s">
        <v>86</v>
      </c>
      <c r="F28" s="11" t="s">
        <v>71</v>
      </c>
      <c r="G28" s="12"/>
      <c r="H28" s="9"/>
      <c r="I28" s="13" t="n">
        <v>25</v>
      </c>
      <c r="J28" s="13"/>
      <c r="K28" s="13"/>
      <c r="L28" s="13"/>
      <c r="M28" s="13"/>
      <c r="N28" s="13" t="n">
        <f aca="false">+I28+J28+L28+K28+M28</f>
        <v>25</v>
      </c>
      <c r="O28" s="14"/>
      <c r="P28" s="14" t="n">
        <f aca="false">ROUND(+O28-N28+Q28,2)</f>
        <v>-25</v>
      </c>
      <c r="Q28" s="15"/>
      <c r="R28" s="14"/>
      <c r="S28" s="16"/>
      <c r="T28" s="14"/>
      <c r="U28" s="14"/>
    </row>
    <row r="29" customFormat="false" ht="22.35" hidden="false" customHeight="false" outlineLevel="0" collapsed="false">
      <c r="A29" s="7" t="n">
        <v>31</v>
      </c>
      <c r="B29" s="8" t="s">
        <v>85</v>
      </c>
      <c r="C29" s="9" t="n">
        <v>44973</v>
      </c>
      <c r="D29" s="9" t="s">
        <v>38</v>
      </c>
      <c r="E29" s="10" t="s">
        <v>87</v>
      </c>
      <c r="F29" s="11" t="s">
        <v>71</v>
      </c>
      <c r="G29" s="12"/>
      <c r="H29" s="9"/>
      <c r="I29" s="13" t="n">
        <v>25</v>
      </c>
      <c r="J29" s="13"/>
      <c r="K29" s="13"/>
      <c r="L29" s="13"/>
      <c r="M29" s="13"/>
      <c r="N29" s="13" t="n">
        <f aca="false">+I29+J29+L29+K29+M29</f>
        <v>25</v>
      </c>
      <c r="O29" s="14"/>
      <c r="P29" s="14" t="n">
        <f aca="false">ROUND(+O29-N29+Q29,2)</f>
        <v>-25</v>
      </c>
      <c r="Q29" s="15"/>
      <c r="R29" s="14"/>
      <c r="S29" s="16"/>
      <c r="T29" s="14"/>
      <c r="U29" s="14"/>
    </row>
    <row r="30" customFormat="false" ht="22.35" hidden="false" customHeight="false" outlineLevel="0" collapsed="false">
      <c r="A30" s="7" t="n">
        <v>32</v>
      </c>
      <c r="B30" s="8" t="s">
        <v>88</v>
      </c>
      <c r="C30" s="9" t="n">
        <v>44974</v>
      </c>
      <c r="D30" s="9" t="s">
        <v>21</v>
      </c>
      <c r="E30" s="10" t="s">
        <v>89</v>
      </c>
      <c r="F30" s="11" t="s">
        <v>23</v>
      </c>
      <c r="G30" s="12"/>
      <c r="H30" s="9"/>
      <c r="I30" s="13" t="n">
        <v>40</v>
      </c>
      <c r="J30" s="13"/>
      <c r="K30" s="13"/>
      <c r="L30" s="13" t="n">
        <v>37.07</v>
      </c>
      <c r="M30" s="13" t="n">
        <v>10</v>
      </c>
      <c r="N30" s="13" t="n">
        <f aca="false">+I30+J30+L30+K30+M30</f>
        <v>87.07</v>
      </c>
      <c r="O30" s="14" t="n">
        <v>87.07</v>
      </c>
      <c r="P30" s="14" t="n">
        <f aca="false">ROUND(+O30-N30+Q30,2)</f>
        <v>0</v>
      </c>
      <c r="Q30" s="15"/>
      <c r="R30" s="14" t="s">
        <v>34</v>
      </c>
      <c r="S30" s="16"/>
      <c r="T30" s="14"/>
      <c r="U30" s="14"/>
    </row>
    <row r="31" customFormat="false" ht="12.8" hidden="false" customHeight="false" outlineLevel="0" collapsed="false">
      <c r="A31" s="7" t="n">
        <v>33</v>
      </c>
      <c r="B31" s="8" t="s">
        <v>90</v>
      </c>
      <c r="C31" s="9" t="n">
        <v>44986</v>
      </c>
      <c r="D31" s="9" t="s">
        <v>38</v>
      </c>
      <c r="E31" s="10" t="s">
        <v>91</v>
      </c>
      <c r="F31" s="11" t="s">
        <v>40</v>
      </c>
      <c r="G31" s="12"/>
      <c r="H31" s="9"/>
      <c r="I31" s="13" t="n">
        <v>30</v>
      </c>
      <c r="J31" s="13"/>
      <c r="K31" s="13"/>
      <c r="L31" s="13"/>
      <c r="M31" s="13"/>
      <c r="N31" s="13" t="n">
        <f aca="false">+I31+J31+L31+K31+M31</f>
        <v>30</v>
      </c>
      <c r="O31" s="14" t="n">
        <v>30</v>
      </c>
      <c r="P31" s="14" t="n">
        <f aca="false">ROUND(+O31-N31+Q31,2)</f>
        <v>0</v>
      </c>
      <c r="Q31" s="15"/>
      <c r="R31" s="14"/>
      <c r="S31" s="16"/>
      <c r="T31" s="14"/>
      <c r="U31" s="14"/>
    </row>
    <row r="32" customFormat="false" ht="22.35" hidden="false" customHeight="false" outlineLevel="0" collapsed="false">
      <c r="A32" s="7" t="n">
        <v>34</v>
      </c>
      <c r="B32" s="8" t="s">
        <v>92</v>
      </c>
      <c r="C32" s="9" t="n">
        <v>44986</v>
      </c>
      <c r="D32" s="9" t="s">
        <v>38</v>
      </c>
      <c r="E32" s="10" t="s">
        <v>93</v>
      </c>
      <c r="F32" s="11" t="s">
        <v>40</v>
      </c>
      <c r="G32" s="12"/>
      <c r="H32" s="9"/>
      <c r="I32" s="13" t="n">
        <v>25</v>
      </c>
      <c r="J32" s="13"/>
      <c r="K32" s="13"/>
      <c r="L32" s="13"/>
      <c r="M32" s="13"/>
      <c r="N32" s="13" t="n">
        <f aca="false">+I32+J32+L32+K32+M32</f>
        <v>25</v>
      </c>
      <c r="O32" s="14" t="n">
        <v>25</v>
      </c>
      <c r="P32" s="14" t="n">
        <f aca="false">ROUND(+O32-N32+Q32,2)</f>
        <v>0</v>
      </c>
      <c r="Q32" s="15"/>
      <c r="R32" s="14"/>
      <c r="S32" s="16"/>
      <c r="T32" s="14"/>
      <c r="U32" s="14"/>
    </row>
    <row r="33" customFormat="false" ht="12.8" hidden="false" customHeight="false" outlineLevel="0" collapsed="false">
      <c r="A33" s="7" t="n">
        <v>35</v>
      </c>
      <c r="B33" s="8" t="s">
        <v>94</v>
      </c>
      <c r="C33" s="9" t="n">
        <v>44991</v>
      </c>
      <c r="D33" s="9" t="s">
        <v>38</v>
      </c>
      <c r="E33" s="10" t="s">
        <v>95</v>
      </c>
      <c r="F33" s="11" t="s">
        <v>40</v>
      </c>
      <c r="G33" s="12"/>
      <c r="H33" s="9"/>
      <c r="I33" s="13"/>
      <c r="J33" s="13"/>
      <c r="K33" s="13"/>
      <c r="L33" s="13"/>
      <c r="M33" s="13"/>
      <c r="N33" s="13" t="n">
        <f aca="false">+I33+J33+L33+K33+M33</f>
        <v>0</v>
      </c>
      <c r="O33" s="14"/>
      <c r="P33" s="14" t="n">
        <f aca="false">ROUND(+O33-N33+Q33,2)</f>
        <v>0</v>
      </c>
      <c r="Q33" s="15"/>
      <c r="R33" s="14"/>
      <c r="S33" s="16"/>
      <c r="T33" s="14"/>
      <c r="U33" s="14"/>
    </row>
    <row r="34" customFormat="false" ht="22.35" hidden="false" customHeight="false" outlineLevel="0" collapsed="false">
      <c r="A34" s="7" t="n">
        <v>36</v>
      </c>
      <c r="B34" s="8" t="s">
        <v>96</v>
      </c>
      <c r="C34" s="9" t="n">
        <v>44993</v>
      </c>
      <c r="D34" s="9" t="s">
        <v>21</v>
      </c>
      <c r="E34" s="10" t="s">
        <v>97</v>
      </c>
      <c r="F34" s="11" t="s">
        <v>23</v>
      </c>
      <c r="G34" s="12"/>
      <c r="H34" s="9"/>
      <c r="I34" s="13" t="n">
        <v>45</v>
      </c>
      <c r="J34" s="13"/>
      <c r="K34" s="13"/>
      <c r="L34" s="13" t="n">
        <v>195.26</v>
      </c>
      <c r="M34" s="13" t="n">
        <v>15</v>
      </c>
      <c r="N34" s="13" t="n">
        <f aca="false">+I34+J34+L34+K34+M34</f>
        <v>255.26</v>
      </c>
      <c r="O34" s="14" t="n">
        <v>255.26</v>
      </c>
      <c r="P34" s="14" t="n">
        <f aca="false">ROUND(+O34-N34+Q34,2)</f>
        <v>0</v>
      </c>
      <c r="Q34" s="15"/>
      <c r="R34" s="14" t="s">
        <v>34</v>
      </c>
      <c r="S34" s="16"/>
      <c r="T34" s="14"/>
      <c r="U34" s="14"/>
    </row>
    <row r="35" customFormat="false" ht="22.35" hidden="false" customHeight="false" outlineLevel="0" collapsed="false">
      <c r="A35" s="7" t="n">
        <v>37</v>
      </c>
      <c r="B35" s="8" t="s">
        <v>96</v>
      </c>
      <c r="C35" s="9" t="n">
        <v>44993</v>
      </c>
      <c r="D35" s="9" t="s">
        <v>21</v>
      </c>
      <c r="E35" s="10" t="s">
        <v>98</v>
      </c>
      <c r="F35" s="11" t="s">
        <v>23</v>
      </c>
      <c r="G35" s="12"/>
      <c r="H35" s="9"/>
      <c r="I35" s="13" t="n">
        <v>40</v>
      </c>
      <c r="J35" s="13"/>
      <c r="K35" s="13"/>
      <c r="L35" s="13" t="n">
        <v>65.26</v>
      </c>
      <c r="M35" s="13" t="n">
        <v>10</v>
      </c>
      <c r="N35" s="13" t="n">
        <f aca="false">+I35+J35+L35+K35+M35</f>
        <v>115.26</v>
      </c>
      <c r="O35" s="14" t="n">
        <v>115.26</v>
      </c>
      <c r="P35" s="14" t="n">
        <f aca="false">ROUND(+O35-N35+Q35,2)</f>
        <v>0</v>
      </c>
      <c r="Q35" s="15"/>
      <c r="R35" s="14" t="s">
        <v>34</v>
      </c>
      <c r="S35" s="16"/>
      <c r="T35" s="14"/>
      <c r="U35" s="14"/>
    </row>
    <row r="36" customFormat="false" ht="12.8" hidden="false" customHeight="false" outlineLevel="0" collapsed="false">
      <c r="A36" s="7" t="n">
        <v>38</v>
      </c>
      <c r="B36" s="8" t="s">
        <v>99</v>
      </c>
      <c r="C36" s="9" t="n">
        <v>44993</v>
      </c>
      <c r="D36" s="9" t="s">
        <v>21</v>
      </c>
      <c r="E36" s="10" t="s">
        <v>100</v>
      </c>
      <c r="F36" s="11" t="s">
        <v>23</v>
      </c>
      <c r="G36" s="12"/>
      <c r="H36" s="9"/>
      <c r="I36" s="13" t="n">
        <v>35</v>
      </c>
      <c r="J36" s="13"/>
      <c r="K36" s="13"/>
      <c r="L36" s="13" t="n">
        <v>23.03</v>
      </c>
      <c r="M36" s="13" t="n">
        <v>10</v>
      </c>
      <c r="N36" s="13" t="n">
        <f aca="false">+I36+J36+L36+K36+M36</f>
        <v>68.03</v>
      </c>
      <c r="O36" s="14" t="n">
        <v>68.03</v>
      </c>
      <c r="P36" s="14" t="n">
        <f aca="false">ROUND(+O36-N36+Q36,2)</f>
        <v>0</v>
      </c>
      <c r="Q36" s="15"/>
      <c r="R36" s="14" t="s">
        <v>34</v>
      </c>
      <c r="S36" s="16"/>
      <c r="T36" s="14"/>
      <c r="U36" s="14"/>
    </row>
    <row r="37" customFormat="false" ht="22.35" hidden="false" customHeight="false" outlineLevel="0" collapsed="false">
      <c r="A37" s="7" t="n">
        <v>39</v>
      </c>
      <c r="B37" s="8" t="s">
        <v>101</v>
      </c>
      <c r="C37" s="9" t="n">
        <v>44993</v>
      </c>
      <c r="D37" s="9" t="s">
        <v>38</v>
      </c>
      <c r="E37" s="10" t="s">
        <v>102</v>
      </c>
      <c r="F37" s="11" t="s">
        <v>40</v>
      </c>
      <c r="G37" s="12"/>
      <c r="H37" s="9"/>
      <c r="I37" s="13" t="n">
        <v>40</v>
      </c>
      <c r="J37" s="13"/>
      <c r="K37" s="13"/>
      <c r="L37" s="13" t="n">
        <v>490</v>
      </c>
      <c r="M37" s="13"/>
      <c r="N37" s="13" t="n">
        <f aca="false">+I37+J37+L37+K37+M37</f>
        <v>530</v>
      </c>
      <c r="O37" s="14" t="n">
        <v>490</v>
      </c>
      <c r="P37" s="14" t="n">
        <f aca="false">ROUND(+O37-N37+Q37,2)</f>
        <v>-40</v>
      </c>
      <c r="Q37" s="15"/>
      <c r="R37" s="14"/>
      <c r="S37" s="16"/>
      <c r="T37" s="14"/>
      <c r="U37" s="14"/>
    </row>
    <row r="38" customFormat="false" ht="12.8" hidden="false" customHeight="false" outlineLevel="0" collapsed="false">
      <c r="A38" s="7" t="n">
        <v>40</v>
      </c>
      <c r="B38" s="8" t="s">
        <v>103</v>
      </c>
      <c r="C38" s="9" t="n">
        <v>44998</v>
      </c>
      <c r="D38" s="9" t="s">
        <v>69</v>
      </c>
      <c r="E38" s="10" t="s">
        <v>104</v>
      </c>
      <c r="F38" s="11" t="s">
        <v>23</v>
      </c>
      <c r="G38" s="12"/>
      <c r="H38" s="9"/>
      <c r="I38" s="13" t="n">
        <v>10</v>
      </c>
      <c r="J38" s="13"/>
      <c r="K38" s="13"/>
      <c r="L38" s="13"/>
      <c r="M38" s="13"/>
      <c r="N38" s="13" t="n">
        <v>10</v>
      </c>
      <c r="O38" s="14" t="n">
        <v>10</v>
      </c>
      <c r="P38" s="14" t="n">
        <v>-10</v>
      </c>
      <c r="Q38" s="15"/>
      <c r="R38" s="14" t="s">
        <v>34</v>
      </c>
      <c r="S38" s="16"/>
      <c r="T38" s="14"/>
      <c r="U38" s="14"/>
    </row>
    <row r="39" customFormat="false" ht="22.35" hidden="false" customHeight="false" outlineLevel="0" collapsed="false">
      <c r="A39" s="7" t="n">
        <v>41</v>
      </c>
      <c r="B39" s="8" t="s">
        <v>103</v>
      </c>
      <c r="C39" s="9" t="n">
        <v>44998</v>
      </c>
      <c r="D39" s="9" t="s">
        <v>21</v>
      </c>
      <c r="E39" s="10" t="s">
        <v>105</v>
      </c>
      <c r="F39" s="11" t="s">
        <v>23</v>
      </c>
      <c r="G39" s="12"/>
      <c r="H39" s="9"/>
      <c r="I39" s="13" t="n">
        <v>4</v>
      </c>
      <c r="J39" s="13"/>
      <c r="K39" s="13"/>
      <c r="L39" s="13" t="n">
        <v>23.03</v>
      </c>
      <c r="M39" s="13" t="n">
        <v>5</v>
      </c>
      <c r="N39" s="13" t="n">
        <f aca="false">+I39+J39+L39+K39+M39</f>
        <v>32.03</v>
      </c>
      <c r="O39" s="14" t="n">
        <v>68.03</v>
      </c>
      <c r="P39" s="14" t="n">
        <f aca="false">ROUND(+O39-N39+Q39,2)</f>
        <v>36</v>
      </c>
      <c r="Q39" s="15"/>
      <c r="R39" s="14" t="s">
        <v>34</v>
      </c>
      <c r="S39" s="16"/>
      <c r="T39" s="14"/>
      <c r="U39" s="14"/>
    </row>
    <row r="40" customFormat="false" ht="22.35" hidden="false" customHeight="false" outlineLevel="0" collapsed="false">
      <c r="A40" s="7" t="n">
        <v>42</v>
      </c>
      <c r="B40" s="8" t="s">
        <v>106</v>
      </c>
      <c r="C40" s="9" t="n">
        <v>45000</v>
      </c>
      <c r="D40" s="9" t="s">
        <v>38</v>
      </c>
      <c r="E40" s="10" t="s">
        <v>102</v>
      </c>
      <c r="F40" s="11" t="s">
        <v>40</v>
      </c>
      <c r="G40" s="12"/>
      <c r="H40" s="9"/>
      <c r="I40" s="13" t="n">
        <v>60</v>
      </c>
      <c r="J40" s="13"/>
      <c r="K40" s="13"/>
      <c r="L40" s="13"/>
      <c r="M40" s="13"/>
      <c r="N40" s="13" t="n">
        <f aca="false">+I40+J40+L40+K40+M40</f>
        <v>60</v>
      </c>
      <c r="O40" s="14" t="n">
        <v>60</v>
      </c>
      <c r="P40" s="14" t="n">
        <f aca="false">ROUND(+O40-N40+Q40,2)</f>
        <v>0</v>
      </c>
      <c r="Q40" s="15"/>
      <c r="R40" s="14"/>
      <c r="S40" s="16"/>
      <c r="T40" s="14"/>
      <c r="U40" s="14"/>
    </row>
    <row r="41" customFormat="false" ht="12.8" hidden="false" customHeight="false" outlineLevel="0" collapsed="false">
      <c r="A41" s="7" t="n">
        <v>43</v>
      </c>
      <c r="B41" s="8" t="s">
        <v>107</v>
      </c>
      <c r="C41" s="9" t="n">
        <v>45001</v>
      </c>
      <c r="D41" s="9" t="s">
        <v>30</v>
      </c>
      <c r="E41" s="10" t="s">
        <v>108</v>
      </c>
      <c r="F41" s="11" t="s">
        <v>32</v>
      </c>
      <c r="G41" s="12"/>
      <c r="H41" s="9"/>
      <c r="I41" s="13" t="n">
        <v>11.25</v>
      </c>
      <c r="J41" s="13"/>
      <c r="K41" s="13"/>
      <c r="L41" s="13"/>
      <c r="M41" s="13" t="n">
        <v>33.75</v>
      </c>
      <c r="N41" s="13" t="n">
        <f aca="false">+I41+J41+L41+K41+M41</f>
        <v>45</v>
      </c>
      <c r="O41" s="14" t="n">
        <v>45</v>
      </c>
      <c r="P41" s="14" t="n">
        <f aca="false">ROUND(+O41-N41+Q41,2)</f>
        <v>0</v>
      </c>
      <c r="Q41" s="15"/>
      <c r="R41" s="14" t="s">
        <v>80</v>
      </c>
      <c r="S41" s="16"/>
      <c r="T41" s="14" t="s">
        <v>34</v>
      </c>
      <c r="U41" s="14" t="s">
        <v>63</v>
      </c>
    </row>
    <row r="42" customFormat="false" ht="22.35" hidden="false" customHeight="false" outlineLevel="0" collapsed="false">
      <c r="A42" s="7" t="n">
        <v>44</v>
      </c>
      <c r="B42" s="8" t="s">
        <v>109</v>
      </c>
      <c r="C42" s="9" t="n">
        <v>45005</v>
      </c>
      <c r="D42" s="9" t="s">
        <v>38</v>
      </c>
      <c r="E42" s="10" t="s">
        <v>102</v>
      </c>
      <c r="F42" s="11" t="s">
        <v>40</v>
      </c>
      <c r="G42" s="12"/>
      <c r="H42" s="9"/>
      <c r="I42" s="13" t="n">
        <v>60</v>
      </c>
      <c r="J42" s="13"/>
      <c r="K42" s="13"/>
      <c r="L42" s="13"/>
      <c r="M42" s="13"/>
      <c r="N42" s="13" t="n">
        <f aca="false">+I42+J42+L42+K42+M42</f>
        <v>60</v>
      </c>
      <c r="O42" s="14"/>
      <c r="P42" s="14" t="n">
        <f aca="false">ROUND(+O42-N42+Q42,2)</f>
        <v>-60</v>
      </c>
      <c r="Q42" s="15"/>
      <c r="R42" s="14"/>
      <c r="S42" s="16"/>
      <c r="T42" s="14"/>
      <c r="U42" s="14"/>
    </row>
    <row r="43" customFormat="false" ht="22.35" hidden="false" customHeight="false" outlineLevel="0" collapsed="false">
      <c r="A43" s="7" t="n">
        <v>45</v>
      </c>
      <c r="B43" s="8" t="s">
        <v>110</v>
      </c>
      <c r="C43" s="9" t="n">
        <v>45005</v>
      </c>
      <c r="D43" s="9" t="s">
        <v>21</v>
      </c>
      <c r="E43" s="10" t="s">
        <v>111</v>
      </c>
      <c r="F43" s="11" t="s">
        <v>23</v>
      </c>
      <c r="G43" s="12"/>
      <c r="H43" s="9"/>
      <c r="I43" s="13" t="n">
        <v>35</v>
      </c>
      <c r="J43" s="13"/>
      <c r="K43" s="13"/>
      <c r="L43" s="13" t="n">
        <v>23.03</v>
      </c>
      <c r="M43" s="13" t="n">
        <v>5</v>
      </c>
      <c r="N43" s="13" t="n">
        <f aca="false">+I43+J43+L43+K43+M43</f>
        <v>63.03</v>
      </c>
      <c r="O43" s="14" t="n">
        <v>63.03</v>
      </c>
      <c r="P43" s="14" t="n">
        <f aca="false">ROUND(+O43-N43+Q43,2)</f>
        <v>0</v>
      </c>
      <c r="Q43" s="15"/>
      <c r="R43" s="14" t="s">
        <v>34</v>
      </c>
      <c r="S43" s="16"/>
      <c r="T43" s="14"/>
      <c r="U43" s="14"/>
    </row>
    <row r="44" customFormat="false" ht="12.8" hidden="false" customHeight="false" outlineLevel="0" collapsed="false">
      <c r="A44" s="7" t="n">
        <v>46</v>
      </c>
      <c r="B44" s="8" t="s">
        <v>45</v>
      </c>
      <c r="C44" s="9" t="n">
        <v>45005</v>
      </c>
      <c r="D44" s="9" t="s">
        <v>21</v>
      </c>
      <c r="E44" s="10" t="s">
        <v>112</v>
      </c>
      <c r="F44" s="11" t="s">
        <v>23</v>
      </c>
      <c r="G44" s="12"/>
      <c r="H44" s="9"/>
      <c r="I44" s="13" t="n">
        <v>7</v>
      </c>
      <c r="J44" s="13"/>
      <c r="K44" s="13"/>
      <c r="L44" s="13" t="n">
        <v>11.8</v>
      </c>
      <c r="M44" s="13" t="n">
        <v>3</v>
      </c>
      <c r="N44" s="13" t="n">
        <f aca="false">+I44+J44+L44+K44+M44</f>
        <v>21.8</v>
      </c>
      <c r="O44" s="14"/>
      <c r="P44" s="14" t="n">
        <f aca="false">ROUND(+O44-N44+Q44,2)</f>
        <v>-21.8</v>
      </c>
      <c r="Q44" s="15"/>
      <c r="R44" s="14" t="s">
        <v>34</v>
      </c>
      <c r="S44" s="16"/>
      <c r="T44" s="14"/>
      <c r="U44" s="14"/>
    </row>
    <row r="45" customFormat="false" ht="22.35" hidden="false" customHeight="false" outlineLevel="0" collapsed="false">
      <c r="A45" s="7" t="n">
        <v>47</v>
      </c>
      <c r="B45" s="8" t="s">
        <v>113</v>
      </c>
      <c r="C45" s="9" t="n">
        <v>45008</v>
      </c>
      <c r="D45" s="9" t="s">
        <v>21</v>
      </c>
      <c r="E45" s="10" t="s">
        <v>114</v>
      </c>
      <c r="F45" s="11" t="s">
        <v>23</v>
      </c>
      <c r="G45" s="12"/>
      <c r="H45" s="9"/>
      <c r="I45" s="13" t="n">
        <v>20</v>
      </c>
      <c r="J45" s="13"/>
      <c r="K45" s="13"/>
      <c r="L45" s="13" t="n">
        <v>50</v>
      </c>
      <c r="M45" s="13"/>
      <c r="N45" s="13" t="n">
        <f aca="false">+I45+J45+L45+K45+M45</f>
        <v>70</v>
      </c>
      <c r="O45" s="14" t="n">
        <v>70</v>
      </c>
      <c r="P45" s="14" t="n">
        <f aca="false">ROUND(+O45-N45+Q45,2)</f>
        <v>0</v>
      </c>
      <c r="Q45" s="15"/>
      <c r="R45" s="14" t="s">
        <v>34</v>
      </c>
      <c r="S45" s="16"/>
      <c r="T45" s="14"/>
      <c r="U45" s="14"/>
    </row>
    <row r="46" customFormat="false" ht="12.8" hidden="false" customHeight="false" outlineLevel="0" collapsed="false">
      <c r="A46" s="7" t="n">
        <v>48</v>
      </c>
      <c r="B46" s="8" t="s">
        <v>115</v>
      </c>
      <c r="C46" s="9" t="n">
        <v>45012</v>
      </c>
      <c r="D46" s="9" t="s">
        <v>21</v>
      </c>
      <c r="E46" s="10" t="s">
        <v>116</v>
      </c>
      <c r="F46" s="11" t="s">
        <v>23</v>
      </c>
      <c r="G46" s="12"/>
      <c r="H46" s="9"/>
      <c r="I46" s="13" t="n">
        <v>40</v>
      </c>
      <c r="J46" s="13"/>
      <c r="K46" s="13"/>
      <c r="L46" s="13" t="n">
        <v>37.07</v>
      </c>
      <c r="M46" s="13" t="n">
        <v>10</v>
      </c>
      <c r="N46" s="13" t="n">
        <f aca="false">+I46+J46+L46+K46+M46</f>
        <v>87.07</v>
      </c>
      <c r="O46" s="14" t="n">
        <v>87.07</v>
      </c>
      <c r="P46" s="14" t="n">
        <f aca="false">ROUND(+O46-N46+Q46,2)</f>
        <v>0</v>
      </c>
      <c r="Q46" s="15"/>
      <c r="R46" s="14" t="s">
        <v>34</v>
      </c>
      <c r="S46" s="16"/>
      <c r="T46" s="14"/>
      <c r="U46" s="14"/>
    </row>
    <row r="47" customFormat="false" ht="12.8" hidden="false" customHeight="false" outlineLevel="0" collapsed="false">
      <c r="A47" s="7" t="n">
        <v>49</v>
      </c>
      <c r="B47" s="8" t="s">
        <v>117</v>
      </c>
      <c r="C47" s="9" t="n">
        <v>45013</v>
      </c>
      <c r="D47" s="9" t="s">
        <v>21</v>
      </c>
      <c r="E47" s="10" t="s">
        <v>116</v>
      </c>
      <c r="F47" s="11" t="s">
        <v>23</v>
      </c>
      <c r="G47" s="12"/>
      <c r="H47" s="9"/>
      <c r="I47" s="13" t="n">
        <v>40</v>
      </c>
      <c r="J47" s="13"/>
      <c r="K47" s="13"/>
      <c r="L47" s="13" t="n">
        <v>37.07</v>
      </c>
      <c r="M47" s="13" t="n">
        <v>10</v>
      </c>
      <c r="N47" s="13" t="n">
        <f aca="false">+I47+J47+L47+K47+M47</f>
        <v>87.07</v>
      </c>
      <c r="O47" s="14" t="n">
        <v>87.07</v>
      </c>
      <c r="P47" s="14" t="n">
        <f aca="false">ROUND(+O47-N47+Q47,2)</f>
        <v>0</v>
      </c>
      <c r="Q47" s="15"/>
      <c r="R47" s="14" t="s">
        <v>34</v>
      </c>
      <c r="S47" s="16"/>
      <c r="T47" s="14"/>
      <c r="U47" s="14"/>
    </row>
    <row r="48" customFormat="false" ht="12.8" hidden="false" customHeight="false" outlineLevel="0" collapsed="false">
      <c r="A48" s="7" t="n">
        <v>50</v>
      </c>
      <c r="B48" s="8" t="s">
        <v>117</v>
      </c>
      <c r="C48" s="9" t="n">
        <v>45013</v>
      </c>
      <c r="D48" s="9" t="s">
        <v>21</v>
      </c>
      <c r="E48" s="10" t="s">
        <v>116</v>
      </c>
      <c r="F48" s="11" t="s">
        <v>23</v>
      </c>
      <c r="G48" s="12"/>
      <c r="H48" s="9"/>
      <c r="I48" s="13" t="n">
        <v>40</v>
      </c>
      <c r="J48" s="13"/>
      <c r="K48" s="13"/>
      <c r="L48" s="13" t="n">
        <v>37.07</v>
      </c>
      <c r="M48" s="13" t="n">
        <v>10</v>
      </c>
      <c r="N48" s="13" t="n">
        <f aca="false">+I48+J48+L48+K48+M48</f>
        <v>87.07</v>
      </c>
      <c r="O48" s="14" t="n">
        <v>87.07</v>
      </c>
      <c r="P48" s="14" t="n">
        <f aca="false">ROUND(+O48-N48+Q48,2)</f>
        <v>0</v>
      </c>
      <c r="Q48" s="15"/>
      <c r="R48" s="14" t="s">
        <v>34</v>
      </c>
      <c r="S48" s="16"/>
      <c r="T48" s="14"/>
      <c r="U48" s="14"/>
    </row>
    <row r="49" customFormat="false" ht="12.8" hidden="false" customHeight="false" outlineLevel="0" collapsed="false">
      <c r="A49" s="7" t="n">
        <v>51</v>
      </c>
      <c r="B49" s="8" t="s">
        <v>118</v>
      </c>
      <c r="C49" s="9" t="n">
        <v>45019</v>
      </c>
      <c r="D49" s="9" t="s">
        <v>21</v>
      </c>
      <c r="E49" s="10" t="s">
        <v>119</v>
      </c>
      <c r="F49" s="11" t="s">
        <v>23</v>
      </c>
      <c r="G49" s="12"/>
      <c r="H49" s="9"/>
      <c r="I49" s="13" t="n">
        <v>45</v>
      </c>
      <c r="J49" s="13"/>
      <c r="K49" s="13"/>
      <c r="L49" s="13" t="n">
        <v>143.26</v>
      </c>
      <c r="M49" s="13" t="n">
        <v>15</v>
      </c>
      <c r="N49" s="13" t="n">
        <f aca="false">+I49+J49+L49+K49+M49</f>
        <v>203.26</v>
      </c>
      <c r="O49" s="14" t="n">
        <v>203.26</v>
      </c>
      <c r="P49" s="14" t="n">
        <f aca="false">ROUND(+O49-N49+Q49,2)</f>
        <v>0</v>
      </c>
      <c r="Q49" s="15"/>
      <c r="R49" s="14" t="s">
        <v>34</v>
      </c>
      <c r="S49" s="16"/>
      <c r="T49" s="14"/>
      <c r="U49" s="14"/>
    </row>
    <row r="50" customFormat="false" ht="12.8" hidden="false" customHeight="false" outlineLevel="0" collapsed="false">
      <c r="A50" s="7" t="n">
        <v>52</v>
      </c>
      <c r="B50" s="8" t="s">
        <v>120</v>
      </c>
      <c r="C50" s="9" t="n">
        <v>45024</v>
      </c>
      <c r="D50" s="9" t="s">
        <v>21</v>
      </c>
      <c r="E50" s="10" t="s">
        <v>121</v>
      </c>
      <c r="F50" s="11" t="s">
        <v>23</v>
      </c>
      <c r="G50" s="12"/>
      <c r="H50" s="9"/>
      <c r="I50" s="13" t="n">
        <v>40</v>
      </c>
      <c r="J50" s="13"/>
      <c r="K50" s="13"/>
      <c r="L50" s="13" t="n">
        <v>200.79</v>
      </c>
      <c r="M50" s="13" t="n">
        <v>10</v>
      </c>
      <c r="N50" s="13" t="n">
        <f aca="false">+I50+J50+L50+K50+M50</f>
        <v>250.79</v>
      </c>
      <c r="O50" s="14" t="n">
        <v>250.79</v>
      </c>
      <c r="P50" s="14" t="n">
        <f aca="false">ROUND(+O50-N50+Q50,2)</f>
        <v>0</v>
      </c>
      <c r="Q50" s="15"/>
      <c r="R50" s="14" t="s">
        <v>34</v>
      </c>
      <c r="S50" s="16"/>
      <c r="T50" s="14"/>
      <c r="U50" s="14"/>
    </row>
    <row r="51" customFormat="false" ht="12.8" hidden="false" customHeight="false" outlineLevel="0" collapsed="false">
      <c r="A51" s="7" t="n">
        <v>53</v>
      </c>
      <c r="B51" s="8" t="s">
        <v>45</v>
      </c>
      <c r="C51" s="9" t="n">
        <v>45026</v>
      </c>
      <c r="D51" s="9" t="s">
        <v>21</v>
      </c>
      <c r="E51" s="10" t="s">
        <v>112</v>
      </c>
      <c r="F51" s="11" t="s">
        <v>23</v>
      </c>
      <c r="G51" s="12"/>
      <c r="H51" s="9"/>
      <c r="I51" s="13"/>
      <c r="J51" s="13"/>
      <c r="K51" s="13"/>
      <c r="L51" s="13"/>
      <c r="M51" s="13"/>
      <c r="N51" s="13" t="n">
        <f aca="false">+I51+J51+L51+K51+M51</f>
        <v>0</v>
      </c>
      <c r="O51" s="14"/>
      <c r="P51" s="14" t="n">
        <f aca="false">ROUND(+O51-N51+Q51,2)</f>
        <v>0</v>
      </c>
      <c r="Q51" s="15"/>
      <c r="R51" s="14" t="s">
        <v>34</v>
      </c>
      <c r="S51" s="16"/>
      <c r="T51" s="14"/>
      <c r="U51" s="14"/>
    </row>
    <row r="52" customFormat="false" ht="12.8" hidden="false" customHeight="false" outlineLevel="0" collapsed="false">
      <c r="A52" s="7" t="n">
        <v>54</v>
      </c>
      <c r="B52" s="8" t="s">
        <v>122</v>
      </c>
      <c r="C52" s="9" t="n">
        <v>45027</v>
      </c>
      <c r="D52" s="9" t="s">
        <v>21</v>
      </c>
      <c r="E52" s="10" t="s">
        <v>123</v>
      </c>
      <c r="F52" s="11" t="s">
        <v>23</v>
      </c>
      <c r="G52" s="12"/>
      <c r="H52" s="9"/>
      <c r="I52" s="13" t="n">
        <v>45</v>
      </c>
      <c r="J52" s="13"/>
      <c r="K52" s="13"/>
      <c r="L52" s="13" t="n">
        <v>113.26</v>
      </c>
      <c r="M52" s="13" t="n">
        <v>15</v>
      </c>
      <c r="N52" s="13" t="n">
        <f aca="false">+I52+J52+L52+K52+M52</f>
        <v>173.26</v>
      </c>
      <c r="O52" s="14" t="n">
        <v>173.26</v>
      </c>
      <c r="P52" s="14" t="n">
        <f aca="false">ROUND(+O52-N52+Q52,2)</f>
        <v>0</v>
      </c>
      <c r="Q52" s="15"/>
      <c r="R52" s="14" t="s">
        <v>34</v>
      </c>
      <c r="S52" s="16"/>
      <c r="T52" s="14"/>
      <c r="U52" s="14"/>
    </row>
    <row r="53" customFormat="false" ht="22.35" hidden="false" customHeight="false" outlineLevel="0" collapsed="false">
      <c r="A53" s="7" t="n">
        <v>55</v>
      </c>
      <c r="B53" s="8" t="s">
        <v>124</v>
      </c>
      <c r="C53" s="9" t="n">
        <v>45027</v>
      </c>
      <c r="D53" s="9" t="s">
        <v>21</v>
      </c>
      <c r="E53" s="10" t="s">
        <v>125</v>
      </c>
      <c r="F53" s="11" t="s">
        <v>23</v>
      </c>
      <c r="G53" s="12"/>
      <c r="H53" s="9"/>
      <c r="I53" s="13" t="n">
        <v>45</v>
      </c>
      <c r="J53" s="13"/>
      <c r="K53" s="13"/>
      <c r="L53" s="13"/>
      <c r="M53" s="13" t="n">
        <v>15</v>
      </c>
      <c r="N53" s="13" t="n">
        <f aca="false">+I53+J53+L53+K53+M53</f>
        <v>60</v>
      </c>
      <c r="O53" s="14" t="n">
        <v>60</v>
      </c>
      <c r="P53" s="14" t="n">
        <f aca="false">ROUND(+O53-N53+Q53,2)</f>
        <v>0</v>
      </c>
      <c r="Q53" s="15"/>
      <c r="R53" s="14" t="s">
        <v>34</v>
      </c>
      <c r="S53" s="16"/>
      <c r="T53" s="14"/>
      <c r="U53" s="14"/>
    </row>
    <row r="54" customFormat="false" ht="22.35" hidden="false" customHeight="false" outlineLevel="0" collapsed="false">
      <c r="A54" s="7" t="n">
        <v>56</v>
      </c>
      <c r="B54" s="8" t="s">
        <v>126</v>
      </c>
      <c r="C54" s="9" t="n">
        <v>45027</v>
      </c>
      <c r="D54" s="9" t="s">
        <v>21</v>
      </c>
      <c r="E54" s="10" t="s">
        <v>127</v>
      </c>
      <c r="F54" s="11" t="s">
        <v>23</v>
      </c>
      <c r="G54" s="12"/>
      <c r="H54" s="9"/>
      <c r="I54" s="13" t="n">
        <v>45</v>
      </c>
      <c r="J54" s="13"/>
      <c r="K54" s="13"/>
      <c r="L54" s="13"/>
      <c r="M54" s="13" t="n">
        <v>15</v>
      </c>
      <c r="N54" s="13" t="n">
        <f aca="false">+I54+J54+L54+K54+M54</f>
        <v>60</v>
      </c>
      <c r="O54" s="14" t="n">
        <v>60</v>
      </c>
      <c r="P54" s="14" t="n">
        <f aca="false">ROUND(+O54-N54+Q54,2)</f>
        <v>0</v>
      </c>
      <c r="Q54" s="15"/>
      <c r="R54" s="14" t="s">
        <v>34</v>
      </c>
      <c r="S54" s="16"/>
      <c r="T54" s="14"/>
      <c r="U54" s="14"/>
    </row>
    <row r="55" customFormat="false" ht="12.8" hidden="false" customHeight="false" outlineLevel="0" collapsed="false">
      <c r="A55" s="7" t="n">
        <v>57</v>
      </c>
      <c r="B55" s="8" t="s">
        <v>128</v>
      </c>
      <c r="C55" s="9" t="n">
        <v>45028</v>
      </c>
      <c r="D55" s="9" t="s">
        <v>38</v>
      </c>
      <c r="E55" s="10" t="s">
        <v>91</v>
      </c>
      <c r="F55" s="11" t="s">
        <v>40</v>
      </c>
      <c r="G55" s="12"/>
      <c r="H55" s="9"/>
      <c r="I55" s="13" t="n">
        <v>20</v>
      </c>
      <c r="J55" s="13"/>
      <c r="K55" s="13"/>
      <c r="L55" s="13"/>
      <c r="M55" s="13"/>
      <c r="N55" s="13" t="n">
        <f aca="false">+I55+J55+L55+K55+M55</f>
        <v>20</v>
      </c>
      <c r="O55" s="14" t="n">
        <v>20</v>
      </c>
      <c r="P55" s="14" t="n">
        <f aca="false">ROUND(+O55-N55+Q55,2)</f>
        <v>0</v>
      </c>
      <c r="Q55" s="15"/>
      <c r="R55" s="14"/>
      <c r="S55" s="16"/>
      <c r="T55" s="14"/>
      <c r="U55" s="14"/>
    </row>
    <row r="56" customFormat="false" ht="12.8" hidden="false" customHeight="false" outlineLevel="0" collapsed="false">
      <c r="A56" s="7" t="n">
        <v>58</v>
      </c>
      <c r="B56" s="8" t="s">
        <v>129</v>
      </c>
      <c r="C56" s="9" t="n">
        <v>45029</v>
      </c>
      <c r="D56" s="9" t="s">
        <v>38</v>
      </c>
      <c r="E56" s="10" t="s">
        <v>91</v>
      </c>
      <c r="F56" s="11" t="s">
        <v>40</v>
      </c>
      <c r="G56" s="12"/>
      <c r="H56" s="9"/>
      <c r="I56" s="13" t="n">
        <v>50</v>
      </c>
      <c r="J56" s="13"/>
      <c r="K56" s="13"/>
      <c r="L56" s="13"/>
      <c r="M56" s="13"/>
      <c r="N56" s="13" t="n">
        <f aca="false">+I56+J56+L56+K56+M56</f>
        <v>50</v>
      </c>
      <c r="O56" s="14" t="n">
        <v>50</v>
      </c>
      <c r="P56" s="14" t="n">
        <f aca="false">ROUND(+O56-N56+Q56,2)</f>
        <v>0</v>
      </c>
      <c r="Q56" s="15"/>
      <c r="R56" s="14"/>
      <c r="S56" s="16"/>
      <c r="T56" s="14"/>
      <c r="U56" s="14"/>
    </row>
    <row r="57" customFormat="false" ht="12.8" hidden="false" customHeight="false" outlineLevel="0" collapsed="false">
      <c r="A57" s="7" t="n">
        <v>59</v>
      </c>
      <c r="B57" s="8" t="s">
        <v>130</v>
      </c>
      <c r="C57" s="9" t="n">
        <v>45030</v>
      </c>
      <c r="D57" s="9" t="s">
        <v>38</v>
      </c>
      <c r="E57" s="10" t="s">
        <v>91</v>
      </c>
      <c r="F57" s="11" t="s">
        <v>40</v>
      </c>
      <c r="G57" s="12"/>
      <c r="H57" s="9"/>
      <c r="I57" s="13" t="n">
        <v>40</v>
      </c>
      <c r="J57" s="13"/>
      <c r="K57" s="13"/>
      <c r="L57" s="13"/>
      <c r="M57" s="13"/>
      <c r="N57" s="13" t="n">
        <f aca="false">+I57+J57+L57+K57+M57</f>
        <v>40</v>
      </c>
      <c r="O57" s="14" t="n">
        <v>40</v>
      </c>
      <c r="P57" s="14" t="n">
        <f aca="false">ROUND(+O57-N57+Q57,2)</f>
        <v>0</v>
      </c>
      <c r="Q57" s="15"/>
      <c r="R57" s="14"/>
      <c r="S57" s="16"/>
      <c r="T57" s="14"/>
      <c r="U57" s="14"/>
    </row>
    <row r="58" customFormat="false" ht="12.8" hidden="false" customHeight="false" outlineLevel="0" collapsed="false">
      <c r="A58" s="7" t="n">
        <v>60</v>
      </c>
      <c r="B58" s="8" t="s">
        <v>131</v>
      </c>
      <c r="C58" s="9" t="n">
        <v>45030</v>
      </c>
      <c r="D58" s="9" t="s">
        <v>38</v>
      </c>
      <c r="E58" s="10" t="s">
        <v>91</v>
      </c>
      <c r="F58" s="11" t="s">
        <v>40</v>
      </c>
      <c r="G58" s="12"/>
      <c r="H58" s="9"/>
      <c r="I58" s="13" t="n">
        <v>20</v>
      </c>
      <c r="J58" s="13"/>
      <c r="K58" s="13"/>
      <c r="L58" s="13"/>
      <c r="M58" s="13"/>
      <c r="N58" s="13" t="n">
        <f aca="false">+I58+J58+L58+K58+M58</f>
        <v>20</v>
      </c>
      <c r="O58" s="14" t="n">
        <v>20</v>
      </c>
      <c r="P58" s="14" t="n">
        <f aca="false">ROUND(+O58-N58+Q58,2)</f>
        <v>0</v>
      </c>
      <c r="Q58" s="15"/>
      <c r="R58" s="14"/>
      <c r="S58" s="16"/>
      <c r="T58" s="14"/>
      <c r="U58" s="14"/>
    </row>
    <row r="59" customFormat="false" ht="12.8" hidden="false" customHeight="false" outlineLevel="0" collapsed="false">
      <c r="A59" s="7" t="n">
        <v>61</v>
      </c>
      <c r="B59" s="8" t="s">
        <v>132</v>
      </c>
      <c r="C59" s="9" t="n">
        <v>45030</v>
      </c>
      <c r="D59" s="9" t="s">
        <v>38</v>
      </c>
      <c r="E59" s="10" t="s">
        <v>91</v>
      </c>
      <c r="F59" s="11" t="s">
        <v>40</v>
      </c>
      <c r="G59" s="12"/>
      <c r="H59" s="9"/>
      <c r="I59" s="13" t="n">
        <v>50</v>
      </c>
      <c r="J59" s="13"/>
      <c r="K59" s="13"/>
      <c r="L59" s="13"/>
      <c r="M59" s="13"/>
      <c r="N59" s="13" t="n">
        <f aca="false">+I59+J59+L59+K59+M59</f>
        <v>50</v>
      </c>
      <c r="O59" s="14" t="n">
        <v>50</v>
      </c>
      <c r="P59" s="14" t="n">
        <f aca="false">ROUND(+O59-N59+Q59,2)</f>
        <v>0</v>
      </c>
      <c r="Q59" s="15"/>
      <c r="R59" s="14"/>
      <c r="S59" s="16"/>
      <c r="T59" s="14"/>
      <c r="U59" s="14"/>
    </row>
    <row r="60" customFormat="false" ht="12.8" hidden="false" customHeight="false" outlineLevel="0" collapsed="false">
      <c r="A60" s="7" t="n">
        <v>62</v>
      </c>
      <c r="B60" s="8" t="s">
        <v>133</v>
      </c>
      <c r="C60" s="9" t="n">
        <v>45030</v>
      </c>
      <c r="D60" s="9" t="s">
        <v>38</v>
      </c>
      <c r="E60" s="10" t="s">
        <v>91</v>
      </c>
      <c r="F60" s="11" t="s">
        <v>40</v>
      </c>
      <c r="G60" s="12"/>
      <c r="H60" s="9"/>
      <c r="I60" s="13" t="n">
        <v>20</v>
      </c>
      <c r="J60" s="13"/>
      <c r="K60" s="13"/>
      <c r="L60" s="13"/>
      <c r="M60" s="13"/>
      <c r="N60" s="13" t="n">
        <f aca="false">+I60+J60+L60+K60+M60</f>
        <v>20</v>
      </c>
      <c r="O60" s="14" t="n">
        <v>20</v>
      </c>
      <c r="P60" s="14" t="n">
        <f aca="false">ROUND(+O60-N60+Q60,2)</f>
        <v>0</v>
      </c>
      <c r="Q60" s="15"/>
      <c r="R60" s="14"/>
      <c r="S60" s="16"/>
      <c r="T60" s="14"/>
      <c r="U60" s="14"/>
    </row>
    <row r="61" customFormat="false" ht="12.8" hidden="false" customHeight="false" outlineLevel="0" collapsed="false">
      <c r="A61" s="7" t="n">
        <v>63</v>
      </c>
      <c r="B61" s="8" t="s">
        <v>134</v>
      </c>
      <c r="C61" s="9" t="n">
        <v>45030</v>
      </c>
      <c r="D61" s="9" t="s">
        <v>38</v>
      </c>
      <c r="E61" s="10" t="s">
        <v>91</v>
      </c>
      <c r="F61" s="11" t="s">
        <v>40</v>
      </c>
      <c r="G61" s="12"/>
      <c r="H61" s="9"/>
      <c r="I61" s="13" t="n">
        <v>20</v>
      </c>
      <c r="J61" s="13"/>
      <c r="K61" s="13"/>
      <c r="L61" s="13"/>
      <c r="M61" s="13"/>
      <c r="N61" s="13" t="n">
        <f aca="false">+I61+J61+L61+K61+M61</f>
        <v>20</v>
      </c>
      <c r="O61" s="14" t="n">
        <v>20</v>
      </c>
      <c r="P61" s="14" t="n">
        <f aca="false">ROUND(+O61-N61+Q61,2)</f>
        <v>0</v>
      </c>
      <c r="Q61" s="15"/>
      <c r="R61" s="14"/>
      <c r="S61" s="16"/>
      <c r="T61" s="14"/>
      <c r="U61" s="14"/>
    </row>
    <row r="62" customFormat="false" ht="12.8" hidden="false" customHeight="false" outlineLevel="0" collapsed="false">
      <c r="A62" s="7" t="n">
        <v>64</v>
      </c>
      <c r="B62" s="8" t="s">
        <v>135</v>
      </c>
      <c r="C62" s="9" t="n">
        <v>45033</v>
      </c>
      <c r="D62" s="9" t="s">
        <v>38</v>
      </c>
      <c r="E62" s="10" t="s">
        <v>136</v>
      </c>
      <c r="F62" s="11" t="s">
        <v>40</v>
      </c>
      <c r="G62" s="12"/>
      <c r="H62" s="9"/>
      <c r="I62" s="13" t="n">
        <v>10</v>
      </c>
      <c r="J62" s="13"/>
      <c r="K62" s="13"/>
      <c r="L62" s="13"/>
      <c r="M62" s="13"/>
      <c r="N62" s="13" t="n">
        <f aca="false">+I62+J62+L62+K62+M62</f>
        <v>10</v>
      </c>
      <c r="O62" s="14" t="n">
        <v>10</v>
      </c>
      <c r="P62" s="14" t="n">
        <f aca="false">ROUND(+O62-N62+Q62,2)</f>
        <v>0</v>
      </c>
      <c r="Q62" s="15"/>
      <c r="R62" s="14"/>
      <c r="S62" s="16"/>
      <c r="T62" s="14"/>
      <c r="U62" s="14"/>
    </row>
    <row r="63" customFormat="false" ht="22.35" hidden="false" customHeight="false" outlineLevel="0" collapsed="false">
      <c r="A63" s="7" t="n">
        <v>65</v>
      </c>
      <c r="B63" s="8" t="s">
        <v>45</v>
      </c>
      <c r="C63" s="9" t="n">
        <v>45035</v>
      </c>
      <c r="D63" s="9" t="s">
        <v>21</v>
      </c>
      <c r="E63" s="10" t="s">
        <v>137</v>
      </c>
      <c r="F63" s="11" t="s">
        <v>138</v>
      </c>
      <c r="G63" s="12"/>
      <c r="H63" s="9"/>
      <c r="I63" s="13" t="n">
        <v>45</v>
      </c>
      <c r="J63" s="13"/>
      <c r="K63" s="13"/>
      <c r="L63" s="13" t="n">
        <v>354.86</v>
      </c>
      <c r="M63" s="13" t="n">
        <v>15</v>
      </c>
      <c r="N63" s="13" t="n">
        <f aca="false">+I63+J63+L63+K63+M63</f>
        <v>414.86</v>
      </c>
      <c r="O63" s="14" t="n">
        <v>414.86</v>
      </c>
      <c r="P63" s="14" t="n">
        <f aca="false">ROUND(+O63-N63+Q63,2)</f>
        <v>0</v>
      </c>
      <c r="Q63" s="15"/>
      <c r="R63" s="14" t="s">
        <v>34</v>
      </c>
      <c r="S63" s="16"/>
      <c r="T63" s="14"/>
      <c r="U63" s="14"/>
    </row>
    <row r="64" customFormat="false" ht="12.8" hidden="false" customHeight="false" outlineLevel="0" collapsed="false">
      <c r="A64" s="7" t="n">
        <v>66</v>
      </c>
      <c r="B64" s="8" t="s">
        <v>139</v>
      </c>
      <c r="C64" s="9" t="n">
        <v>45035</v>
      </c>
      <c r="D64" s="9" t="s">
        <v>21</v>
      </c>
      <c r="E64" s="10" t="s">
        <v>140</v>
      </c>
      <c r="F64" s="11" t="s">
        <v>23</v>
      </c>
      <c r="G64" s="12"/>
      <c r="H64" s="9"/>
      <c r="I64" s="13" t="n">
        <v>40</v>
      </c>
      <c r="J64" s="13"/>
      <c r="K64" s="13"/>
      <c r="L64" s="13" t="n">
        <v>37.07</v>
      </c>
      <c r="M64" s="13" t="n">
        <v>10</v>
      </c>
      <c r="N64" s="13" t="n">
        <f aca="false">+I64+J64+L64+K64+M64</f>
        <v>87.07</v>
      </c>
      <c r="O64" s="14" t="n">
        <v>87</v>
      </c>
      <c r="P64" s="14" t="n">
        <f aca="false">ROUND(+O64-N64+Q64,2)</f>
        <v>-0.07</v>
      </c>
      <c r="Q64" s="15"/>
      <c r="R64" s="14" t="s">
        <v>34</v>
      </c>
      <c r="S64" s="16"/>
      <c r="T64" s="14"/>
      <c r="U64" s="14"/>
    </row>
    <row r="65" customFormat="false" ht="12.8" hidden="false" customHeight="false" outlineLevel="0" collapsed="false">
      <c r="A65" s="7" t="n">
        <v>67</v>
      </c>
      <c r="B65" s="8" t="s">
        <v>141</v>
      </c>
      <c r="C65" s="9" t="n">
        <v>45037</v>
      </c>
      <c r="D65" s="9" t="s">
        <v>38</v>
      </c>
      <c r="E65" s="10" t="s">
        <v>91</v>
      </c>
      <c r="F65" s="11" t="s">
        <v>40</v>
      </c>
      <c r="G65" s="12"/>
      <c r="H65" s="9"/>
      <c r="I65" s="13" t="n">
        <v>20</v>
      </c>
      <c r="J65" s="13"/>
      <c r="K65" s="13"/>
      <c r="L65" s="13"/>
      <c r="M65" s="13"/>
      <c r="N65" s="13" t="n">
        <f aca="false">+I65+J65+L65+K65+M65</f>
        <v>20</v>
      </c>
      <c r="O65" s="14" t="n">
        <v>2</v>
      </c>
      <c r="P65" s="14" t="n">
        <f aca="false">ROUND(+O65-N65+Q65,2)</f>
        <v>-18</v>
      </c>
      <c r="Q65" s="15"/>
      <c r="R65" s="14"/>
      <c r="S65" s="16"/>
      <c r="T65" s="14"/>
      <c r="U65" s="14"/>
    </row>
    <row r="66" customFormat="false" ht="12.8" hidden="false" customHeight="false" outlineLevel="0" collapsed="false">
      <c r="A66" s="7" t="n">
        <v>68</v>
      </c>
      <c r="B66" s="8" t="s">
        <v>142</v>
      </c>
      <c r="C66" s="9" t="n">
        <v>45037</v>
      </c>
      <c r="D66" s="9" t="s">
        <v>38</v>
      </c>
      <c r="E66" s="10" t="s">
        <v>91</v>
      </c>
      <c r="F66" s="11" t="s">
        <v>40</v>
      </c>
      <c r="G66" s="12"/>
      <c r="H66" s="9"/>
      <c r="I66" s="13" t="n">
        <v>30</v>
      </c>
      <c r="J66" s="13"/>
      <c r="K66" s="13"/>
      <c r="L66" s="13"/>
      <c r="M66" s="13"/>
      <c r="N66" s="13" t="n">
        <f aca="false">+I66+J66+L66+K66+M66</f>
        <v>30</v>
      </c>
      <c r="O66" s="14" t="n">
        <v>30</v>
      </c>
      <c r="P66" s="14" t="n">
        <f aca="false">ROUND(+O66-N66+Q66,2)</f>
        <v>0</v>
      </c>
      <c r="Q66" s="15"/>
      <c r="R66" s="14"/>
      <c r="S66" s="16"/>
      <c r="T66" s="14"/>
      <c r="U66" s="14"/>
    </row>
    <row r="67" customFormat="false" ht="12.8" hidden="false" customHeight="false" outlineLevel="0" collapsed="false">
      <c r="A67" s="7" t="n">
        <v>69</v>
      </c>
      <c r="B67" s="8" t="s">
        <v>143</v>
      </c>
      <c r="C67" s="9" t="n">
        <v>45037</v>
      </c>
      <c r="D67" s="9" t="s">
        <v>38</v>
      </c>
      <c r="E67" s="10" t="s">
        <v>91</v>
      </c>
      <c r="F67" s="11" t="s">
        <v>40</v>
      </c>
      <c r="G67" s="12"/>
      <c r="H67" s="9"/>
      <c r="I67" s="13" t="n">
        <v>40</v>
      </c>
      <c r="J67" s="13"/>
      <c r="K67" s="13"/>
      <c r="L67" s="13"/>
      <c r="M67" s="13"/>
      <c r="N67" s="13" t="n">
        <f aca="false">+I67+J67+L67+K67+M67</f>
        <v>40</v>
      </c>
      <c r="O67" s="14" t="n">
        <v>40</v>
      </c>
      <c r="P67" s="14" t="n">
        <f aca="false">ROUND(+O67-N67+Q67,2)</f>
        <v>0</v>
      </c>
      <c r="Q67" s="15"/>
      <c r="R67" s="14"/>
      <c r="S67" s="16"/>
      <c r="T67" s="14"/>
      <c r="U67" s="14"/>
    </row>
    <row r="68" s="38" customFormat="true" ht="12.8" hidden="false" customHeight="false" outlineLevel="0" collapsed="false">
      <c r="A68" s="28" t="n">
        <v>70</v>
      </c>
      <c r="B68" s="29" t="s">
        <v>144</v>
      </c>
      <c r="C68" s="30" t="n">
        <v>45040</v>
      </c>
      <c r="D68" s="30" t="s">
        <v>38</v>
      </c>
      <c r="E68" s="31" t="s">
        <v>91</v>
      </c>
      <c r="F68" s="32" t="s">
        <v>40</v>
      </c>
      <c r="G68" s="33"/>
      <c r="H68" s="30"/>
      <c r="I68" s="34" t="n">
        <v>30</v>
      </c>
      <c r="J68" s="34"/>
      <c r="K68" s="34"/>
      <c r="L68" s="34"/>
      <c r="M68" s="34"/>
      <c r="N68" s="34" t="n">
        <f aca="false">+I68+J68+L68+K68+M68</f>
        <v>30</v>
      </c>
      <c r="O68" s="35" t="n">
        <v>30</v>
      </c>
      <c r="P68" s="35" t="n">
        <f aca="false">ROUND(+O68-N68+Q68,2)</f>
        <v>0</v>
      </c>
      <c r="Q68" s="36"/>
      <c r="R68" s="35"/>
      <c r="S68" s="37"/>
      <c r="T68" s="35"/>
      <c r="U68" s="35"/>
    </row>
    <row r="69" customFormat="false" ht="12.8" hidden="false" customHeight="false" outlineLevel="0" collapsed="false">
      <c r="A69" s="7" t="n">
        <v>71</v>
      </c>
      <c r="B69" s="8" t="s">
        <v>145</v>
      </c>
      <c r="C69" s="9" t="n">
        <v>45040</v>
      </c>
      <c r="D69" s="9" t="s">
        <v>38</v>
      </c>
      <c r="E69" s="10" t="s">
        <v>91</v>
      </c>
      <c r="F69" s="11" t="s">
        <v>40</v>
      </c>
      <c r="G69" s="12"/>
      <c r="H69" s="9"/>
      <c r="I69" s="13" t="n">
        <v>40</v>
      </c>
      <c r="J69" s="13"/>
      <c r="K69" s="13"/>
      <c r="L69" s="13"/>
      <c r="M69" s="13"/>
      <c r="N69" s="13" t="n">
        <f aca="false">+I69+J69+L69+K69+M69</f>
        <v>40</v>
      </c>
      <c r="O69" s="14" t="n">
        <v>40</v>
      </c>
      <c r="P69" s="14" t="n">
        <f aca="false">ROUND(+O69-N69+Q69,2)</f>
        <v>0</v>
      </c>
      <c r="Q69" s="15"/>
      <c r="R69" s="14"/>
      <c r="S69" s="16"/>
      <c r="T69" s="14"/>
      <c r="U69" s="14"/>
    </row>
    <row r="70" customFormat="false" ht="12.8" hidden="false" customHeight="false" outlineLevel="0" collapsed="false">
      <c r="A70" s="7" t="n">
        <v>72</v>
      </c>
      <c r="B70" s="8" t="s">
        <v>146</v>
      </c>
      <c r="C70" s="9" t="n">
        <v>45040</v>
      </c>
      <c r="D70" s="9" t="s">
        <v>38</v>
      </c>
      <c r="E70" s="10" t="s">
        <v>91</v>
      </c>
      <c r="F70" s="11" t="s">
        <v>40</v>
      </c>
      <c r="G70" s="12"/>
      <c r="H70" s="9"/>
      <c r="I70" s="13" t="n">
        <v>30</v>
      </c>
      <c r="J70" s="13"/>
      <c r="K70" s="13"/>
      <c r="L70" s="13"/>
      <c r="M70" s="13"/>
      <c r="N70" s="13" t="n">
        <f aca="false">+I70+J70+L70+K70+M70</f>
        <v>30</v>
      </c>
      <c r="O70" s="14" t="n">
        <v>30</v>
      </c>
      <c r="P70" s="14" t="n">
        <f aca="false">ROUND(+O70-N70+Q70,2)</f>
        <v>0</v>
      </c>
      <c r="Q70" s="15"/>
      <c r="R70" s="14"/>
      <c r="S70" s="16"/>
      <c r="T70" s="14"/>
      <c r="U70" s="14"/>
    </row>
    <row r="71" customFormat="false" ht="12.8" hidden="false" customHeight="false" outlineLevel="0" collapsed="false">
      <c r="A71" s="7" t="n">
        <v>73</v>
      </c>
      <c r="B71" s="8" t="s">
        <v>147</v>
      </c>
      <c r="C71" s="9" t="n">
        <v>45040</v>
      </c>
      <c r="D71" s="9" t="s">
        <v>38</v>
      </c>
      <c r="E71" s="10" t="s">
        <v>91</v>
      </c>
      <c r="F71" s="11" t="s">
        <v>40</v>
      </c>
      <c r="G71" s="12"/>
      <c r="H71" s="9"/>
      <c r="I71" s="13" t="n">
        <v>30</v>
      </c>
      <c r="J71" s="13"/>
      <c r="K71" s="13"/>
      <c r="L71" s="13"/>
      <c r="M71" s="13"/>
      <c r="N71" s="13" t="n">
        <f aca="false">+I71+J71+L71+K71+M71</f>
        <v>30</v>
      </c>
      <c r="O71" s="14" t="n">
        <v>30</v>
      </c>
      <c r="P71" s="14" t="n">
        <f aca="false">ROUND(+O71-N71+Q71,2)</f>
        <v>0</v>
      </c>
      <c r="Q71" s="15"/>
      <c r="R71" s="14"/>
      <c r="S71" s="16"/>
      <c r="T71" s="14"/>
      <c r="U71" s="14"/>
    </row>
    <row r="72" customFormat="false" ht="12.8" hidden="false" customHeight="false" outlineLevel="0" collapsed="false">
      <c r="A72" s="7" t="n">
        <v>74</v>
      </c>
      <c r="B72" s="8" t="s">
        <v>148</v>
      </c>
      <c r="C72" s="9" t="n">
        <v>45040</v>
      </c>
      <c r="D72" s="9" t="s">
        <v>38</v>
      </c>
      <c r="E72" s="10" t="s">
        <v>91</v>
      </c>
      <c r="F72" s="11" t="s">
        <v>40</v>
      </c>
      <c r="G72" s="12"/>
      <c r="H72" s="9"/>
      <c r="I72" s="13" t="n">
        <v>30</v>
      </c>
      <c r="J72" s="13"/>
      <c r="K72" s="13"/>
      <c r="L72" s="13"/>
      <c r="M72" s="13"/>
      <c r="N72" s="13" t="n">
        <f aca="false">+I72+J72+L72+K72+M72</f>
        <v>30</v>
      </c>
      <c r="O72" s="14" t="n">
        <v>30</v>
      </c>
      <c r="P72" s="14" t="n">
        <f aca="false">ROUND(+O72-N72+Q72,2)</f>
        <v>0</v>
      </c>
      <c r="Q72" s="15"/>
      <c r="R72" s="14"/>
      <c r="S72" s="16"/>
      <c r="T72" s="14"/>
      <c r="U72" s="14"/>
    </row>
    <row r="73" customFormat="false" ht="12.8" hidden="false" customHeight="false" outlineLevel="0" collapsed="false">
      <c r="A73" s="7" t="n">
        <v>75</v>
      </c>
      <c r="B73" s="8" t="s">
        <v>149</v>
      </c>
      <c r="C73" s="9" t="n">
        <v>45040</v>
      </c>
      <c r="D73" s="9" t="s">
        <v>38</v>
      </c>
      <c r="E73" s="10" t="s">
        <v>91</v>
      </c>
      <c r="F73" s="11" t="s">
        <v>40</v>
      </c>
      <c r="G73" s="12"/>
      <c r="H73" s="9"/>
      <c r="I73" s="13" t="n">
        <v>30</v>
      </c>
      <c r="J73" s="13"/>
      <c r="K73" s="13"/>
      <c r="L73" s="13"/>
      <c r="M73" s="13"/>
      <c r="N73" s="13" t="n">
        <f aca="false">+I73+J73+L73+K73+M73</f>
        <v>30</v>
      </c>
      <c r="O73" s="14" t="n">
        <v>30</v>
      </c>
      <c r="P73" s="14" t="n">
        <f aca="false">ROUND(+O73-N73+Q73,2)</f>
        <v>0</v>
      </c>
      <c r="Q73" s="15"/>
      <c r="R73" s="14"/>
      <c r="S73" s="16"/>
      <c r="T73" s="14"/>
      <c r="U73" s="14"/>
    </row>
    <row r="74" customFormat="false" ht="12.8" hidden="false" customHeight="false" outlineLevel="0" collapsed="false">
      <c r="A74" s="7" t="n">
        <v>76</v>
      </c>
      <c r="B74" s="8" t="s">
        <v>150</v>
      </c>
      <c r="C74" s="9" t="n">
        <v>45040</v>
      </c>
      <c r="D74" s="9" t="s">
        <v>38</v>
      </c>
      <c r="E74" s="10" t="s">
        <v>91</v>
      </c>
      <c r="F74" s="11" t="s">
        <v>40</v>
      </c>
      <c r="G74" s="12"/>
      <c r="H74" s="9"/>
      <c r="I74" s="13" t="n">
        <v>30</v>
      </c>
      <c r="J74" s="13"/>
      <c r="K74" s="13"/>
      <c r="L74" s="13"/>
      <c r="M74" s="13"/>
      <c r="N74" s="13" t="n">
        <f aca="false">+I74+J74+L74+K74+M74</f>
        <v>30</v>
      </c>
      <c r="O74" s="14" t="n">
        <v>30</v>
      </c>
      <c r="P74" s="14" t="n">
        <f aca="false">ROUND(+O74-N74+Q74,2)</f>
        <v>0</v>
      </c>
      <c r="Q74" s="15"/>
      <c r="R74" s="14"/>
      <c r="S74" s="16"/>
      <c r="T74" s="14"/>
      <c r="U74" s="14"/>
    </row>
    <row r="75" customFormat="false" ht="22.35" hidden="false" customHeight="false" outlineLevel="0" collapsed="false">
      <c r="A75" s="7" t="n">
        <v>77</v>
      </c>
      <c r="B75" s="8" t="s">
        <v>151</v>
      </c>
      <c r="C75" s="9" t="n">
        <v>45040</v>
      </c>
      <c r="D75" s="9" t="s">
        <v>21</v>
      </c>
      <c r="E75" s="10" t="s">
        <v>152</v>
      </c>
      <c r="F75" s="11" t="s">
        <v>23</v>
      </c>
      <c r="G75" s="12"/>
      <c r="H75" s="9"/>
      <c r="I75" s="13" t="n">
        <v>45</v>
      </c>
      <c r="J75" s="13"/>
      <c r="K75" s="13"/>
      <c r="L75" s="13" t="n">
        <v>129.26</v>
      </c>
      <c r="M75" s="13" t="n">
        <v>15</v>
      </c>
      <c r="N75" s="13" t="n">
        <f aca="false">+I75+J75+L75+K75+M75</f>
        <v>189.26</v>
      </c>
      <c r="O75" s="14" t="n">
        <v>189.26</v>
      </c>
      <c r="P75" s="14" t="n">
        <f aca="false">ROUND(+O75-N75+Q75,2)</f>
        <v>0</v>
      </c>
      <c r="Q75" s="15"/>
      <c r="R75" s="14" t="s">
        <v>34</v>
      </c>
      <c r="S75" s="16"/>
      <c r="T75" s="14"/>
      <c r="U75" s="14"/>
    </row>
    <row r="76" customFormat="false" ht="22.35" hidden="false" customHeight="false" outlineLevel="0" collapsed="false">
      <c r="A76" s="7" t="n">
        <v>78</v>
      </c>
      <c r="B76" s="8" t="s">
        <v>96</v>
      </c>
      <c r="C76" s="9" t="n">
        <v>45040</v>
      </c>
      <c r="D76" s="9" t="s">
        <v>21</v>
      </c>
      <c r="E76" s="10" t="s">
        <v>153</v>
      </c>
      <c r="F76" s="11" t="s">
        <v>23</v>
      </c>
      <c r="G76" s="12"/>
      <c r="H76" s="9"/>
      <c r="I76" s="13" t="n">
        <v>45</v>
      </c>
      <c r="J76" s="13"/>
      <c r="K76" s="13"/>
      <c r="L76" s="13" t="n">
        <v>65.26</v>
      </c>
      <c r="M76" s="13" t="n">
        <v>15</v>
      </c>
      <c r="N76" s="13" t="n">
        <f aca="false">+I76+J76+L76+K76+M76</f>
        <v>125.26</v>
      </c>
      <c r="O76" s="14" t="n">
        <v>125.26</v>
      </c>
      <c r="P76" s="14" t="n">
        <f aca="false">ROUND(+O76-N76+Q76,2)</f>
        <v>0</v>
      </c>
      <c r="Q76" s="15"/>
      <c r="R76" s="14" t="s">
        <v>34</v>
      </c>
      <c r="S76" s="16"/>
      <c r="T76" s="14"/>
      <c r="U76" s="14"/>
    </row>
    <row r="77" customFormat="false" ht="12.8" hidden="false" customHeight="false" outlineLevel="0" collapsed="false">
      <c r="A77" s="7" t="n">
        <v>79</v>
      </c>
      <c r="B77" s="8" t="s">
        <v>154</v>
      </c>
      <c r="C77" s="9" t="n">
        <v>45041</v>
      </c>
      <c r="D77" s="9" t="s">
        <v>38</v>
      </c>
      <c r="E77" s="10" t="s">
        <v>91</v>
      </c>
      <c r="F77" s="11" t="s">
        <v>40</v>
      </c>
      <c r="G77" s="12"/>
      <c r="H77" s="9"/>
      <c r="I77" s="13" t="n">
        <v>40</v>
      </c>
      <c r="J77" s="13"/>
      <c r="K77" s="13"/>
      <c r="L77" s="13"/>
      <c r="M77" s="13"/>
      <c r="N77" s="13" t="n">
        <f aca="false">+I77+J77+L77+K77+M77</f>
        <v>40</v>
      </c>
      <c r="O77" s="14" t="n">
        <v>40</v>
      </c>
      <c r="P77" s="14" t="n">
        <f aca="false">ROUND(+O77-N77+Q77,2)</f>
        <v>0</v>
      </c>
      <c r="Q77" s="15"/>
      <c r="R77" s="14"/>
      <c r="S77" s="16"/>
      <c r="T77" s="14"/>
      <c r="U77" s="14"/>
    </row>
    <row r="78" customFormat="false" ht="12.8" hidden="false" customHeight="false" outlineLevel="0" collapsed="false">
      <c r="A78" s="7" t="n">
        <v>80</v>
      </c>
      <c r="B78" s="8" t="s">
        <v>155</v>
      </c>
      <c r="C78" s="9" t="n">
        <v>45041</v>
      </c>
      <c r="D78" s="9" t="s">
        <v>69</v>
      </c>
      <c r="E78" s="10" t="s">
        <v>156</v>
      </c>
      <c r="F78" s="11" t="s">
        <v>32</v>
      </c>
      <c r="G78" s="12"/>
      <c r="H78" s="9"/>
      <c r="I78" s="13" t="n">
        <v>35</v>
      </c>
      <c r="J78" s="13"/>
      <c r="K78" s="13"/>
      <c r="L78" s="13"/>
      <c r="M78" s="13"/>
      <c r="N78" s="13"/>
      <c r="O78" s="14" t="n">
        <v>35</v>
      </c>
      <c r="P78" s="14" t="n">
        <v>0</v>
      </c>
      <c r="Q78" s="15"/>
      <c r="R78" s="14" t="s">
        <v>34</v>
      </c>
      <c r="S78" s="16"/>
      <c r="T78" s="14"/>
      <c r="U78" s="14"/>
    </row>
    <row r="79" customFormat="false" ht="12.8" hidden="false" customHeight="false" outlineLevel="0" collapsed="false">
      <c r="A79" s="7" t="n">
        <v>81</v>
      </c>
      <c r="B79" s="8" t="s">
        <v>157</v>
      </c>
      <c r="C79" s="9" t="n">
        <v>45041</v>
      </c>
      <c r="D79" s="9" t="s">
        <v>21</v>
      </c>
      <c r="E79" s="10" t="s">
        <v>140</v>
      </c>
      <c r="F79" s="11" t="s">
        <v>23</v>
      </c>
      <c r="G79" s="12"/>
      <c r="H79" s="9"/>
      <c r="I79" s="13" t="n">
        <v>45</v>
      </c>
      <c r="J79" s="13"/>
      <c r="K79" s="13"/>
      <c r="L79" s="13" t="n">
        <v>37</v>
      </c>
      <c r="M79" s="13" t="n">
        <v>5</v>
      </c>
      <c r="N79" s="13" t="n">
        <f aca="false">+I79+J79+L79+K79+M79</f>
        <v>87</v>
      </c>
      <c r="O79" s="14" t="n">
        <v>87</v>
      </c>
      <c r="P79" s="14" t="n">
        <f aca="false">ROUND(+O79-N79+Q79,2)</f>
        <v>0</v>
      </c>
      <c r="Q79" s="15"/>
      <c r="R79" s="14" t="s">
        <v>34</v>
      </c>
      <c r="S79" s="16"/>
      <c r="T79" s="14"/>
      <c r="U79" s="14"/>
    </row>
    <row r="80" customFormat="false" ht="12.8" hidden="false" customHeight="false" outlineLevel="0" collapsed="false">
      <c r="A80" s="7" t="n">
        <v>82</v>
      </c>
      <c r="B80" s="8" t="s">
        <v>158</v>
      </c>
      <c r="C80" s="9" t="n">
        <v>45041</v>
      </c>
      <c r="D80" s="9" t="s">
        <v>21</v>
      </c>
      <c r="E80" s="10" t="s">
        <v>140</v>
      </c>
      <c r="F80" s="11" t="s">
        <v>23</v>
      </c>
      <c r="G80" s="12"/>
      <c r="H80" s="9"/>
      <c r="I80" s="13" t="n">
        <v>45</v>
      </c>
      <c r="J80" s="13"/>
      <c r="K80" s="13"/>
      <c r="L80" s="13" t="n">
        <v>37</v>
      </c>
      <c r="M80" s="13" t="n">
        <v>5</v>
      </c>
      <c r="N80" s="13" t="n">
        <v>5</v>
      </c>
      <c r="O80" s="14" t="n">
        <v>87</v>
      </c>
      <c r="P80" s="14" t="n">
        <v>0</v>
      </c>
      <c r="Q80" s="15"/>
      <c r="R80" s="14" t="s">
        <v>34</v>
      </c>
      <c r="S80" s="16"/>
      <c r="T80" s="14"/>
      <c r="U80" s="14"/>
    </row>
    <row r="81" customFormat="false" ht="12.8" hidden="false" customHeight="false" outlineLevel="0" collapsed="false">
      <c r="A81" s="7" t="n">
        <v>83</v>
      </c>
      <c r="B81" s="8" t="s">
        <v>159</v>
      </c>
      <c r="C81" s="9" t="n">
        <v>45041</v>
      </c>
      <c r="D81" s="9" t="s">
        <v>38</v>
      </c>
      <c r="E81" s="10" t="s">
        <v>91</v>
      </c>
      <c r="F81" s="11" t="s">
        <v>40</v>
      </c>
      <c r="G81" s="12"/>
      <c r="H81" s="9"/>
      <c r="I81" s="13" t="n">
        <v>20</v>
      </c>
      <c r="J81" s="13"/>
      <c r="K81" s="13"/>
      <c r="L81" s="13"/>
      <c r="M81" s="13"/>
      <c r="N81" s="13" t="n">
        <f aca="false">+I81+J81+L81+K81+M81</f>
        <v>20</v>
      </c>
      <c r="O81" s="14" t="n">
        <v>20</v>
      </c>
      <c r="P81" s="14" t="n">
        <f aca="false">ROUND(+O81-N81+Q81,2)</f>
        <v>0</v>
      </c>
      <c r="Q81" s="15"/>
      <c r="R81" s="14"/>
      <c r="S81" s="16"/>
      <c r="T81" s="14"/>
      <c r="U81" s="14"/>
    </row>
    <row r="82" customFormat="false" ht="12.8" hidden="false" customHeight="false" outlineLevel="0" collapsed="false">
      <c r="A82" s="7" t="n">
        <v>84</v>
      </c>
      <c r="B82" s="8" t="s">
        <v>160</v>
      </c>
      <c r="C82" s="9" t="n">
        <v>45041</v>
      </c>
      <c r="D82" s="9" t="s">
        <v>38</v>
      </c>
      <c r="E82" s="10" t="s">
        <v>91</v>
      </c>
      <c r="F82" s="11" t="s">
        <v>40</v>
      </c>
      <c r="G82" s="12"/>
      <c r="H82" s="9"/>
      <c r="I82" s="13" t="n">
        <v>30</v>
      </c>
      <c r="J82" s="13"/>
      <c r="K82" s="13"/>
      <c r="L82" s="13"/>
      <c r="M82" s="13"/>
      <c r="N82" s="13" t="n">
        <f aca="false">+I82+J82+L82+K82+M82</f>
        <v>30</v>
      </c>
      <c r="O82" s="14" t="n">
        <v>30</v>
      </c>
      <c r="P82" s="14" t="n">
        <f aca="false">ROUND(+O82-N82+Q82,2)</f>
        <v>0</v>
      </c>
      <c r="Q82" s="15"/>
      <c r="R82" s="14"/>
      <c r="S82" s="16"/>
      <c r="T82" s="14"/>
      <c r="U82" s="14"/>
    </row>
    <row r="83" customFormat="false" ht="12.8" hidden="false" customHeight="false" outlineLevel="0" collapsed="false">
      <c r="A83" s="7" t="n">
        <v>85</v>
      </c>
      <c r="B83" s="8" t="s">
        <v>161</v>
      </c>
      <c r="C83" s="9" t="n">
        <v>45041</v>
      </c>
      <c r="D83" s="9" t="s">
        <v>38</v>
      </c>
      <c r="E83" s="10" t="s">
        <v>91</v>
      </c>
      <c r="F83" s="11" t="s">
        <v>40</v>
      </c>
      <c r="G83" s="12"/>
      <c r="H83" s="9"/>
      <c r="I83" s="13" t="n">
        <v>25</v>
      </c>
      <c r="J83" s="13"/>
      <c r="K83" s="13"/>
      <c r="L83" s="13"/>
      <c r="M83" s="13"/>
      <c r="N83" s="13" t="n">
        <f aca="false">+I83+J83+L83+K83+M83</f>
        <v>25</v>
      </c>
      <c r="O83" s="14" t="n">
        <v>25</v>
      </c>
      <c r="P83" s="14" t="n">
        <f aca="false">ROUND(+O83-N83+Q83,2)</f>
        <v>0</v>
      </c>
      <c r="Q83" s="15"/>
      <c r="R83" s="14"/>
      <c r="S83" s="16"/>
      <c r="T83" s="14"/>
      <c r="U83" s="14"/>
    </row>
    <row r="84" customFormat="false" ht="12.8" hidden="false" customHeight="false" outlineLevel="0" collapsed="false">
      <c r="A84" s="7" t="n">
        <v>86</v>
      </c>
      <c r="B84" s="8" t="s">
        <v>61</v>
      </c>
      <c r="C84" s="9" t="n">
        <v>45041</v>
      </c>
      <c r="D84" s="9" t="s">
        <v>21</v>
      </c>
      <c r="E84" s="10" t="s">
        <v>162</v>
      </c>
      <c r="F84" s="11" t="s">
        <v>23</v>
      </c>
      <c r="G84" s="12"/>
      <c r="H84" s="9"/>
      <c r="I84" s="13" t="n">
        <v>10</v>
      </c>
      <c r="J84" s="13"/>
      <c r="K84" s="13"/>
      <c r="L84" s="13" t="n">
        <v>11.8</v>
      </c>
      <c r="M84" s="13"/>
      <c r="N84" s="13" t="n">
        <f aca="false">+I84+J84+L84+K84+M84</f>
        <v>21.8</v>
      </c>
      <c r="O84" s="14" t="n">
        <v>21.8</v>
      </c>
      <c r="P84" s="14" t="n">
        <f aca="false">ROUND(+O84-N84+Q84,2)</f>
        <v>0</v>
      </c>
      <c r="Q84" s="15"/>
      <c r="R84" s="14" t="s">
        <v>34</v>
      </c>
      <c r="S84" s="16"/>
      <c r="T84" s="14"/>
      <c r="U84" s="14"/>
    </row>
    <row r="85" customFormat="false" ht="12.8" hidden="false" customHeight="false" outlineLevel="0" collapsed="false">
      <c r="A85" s="7" t="n">
        <v>87</v>
      </c>
      <c r="B85" s="8" t="s">
        <v>163</v>
      </c>
      <c r="C85" s="9" t="n">
        <v>45041</v>
      </c>
      <c r="D85" s="9" t="s">
        <v>38</v>
      </c>
      <c r="E85" s="10" t="s">
        <v>91</v>
      </c>
      <c r="F85" s="11" t="s">
        <v>40</v>
      </c>
      <c r="G85" s="12"/>
      <c r="H85" s="9"/>
      <c r="I85" s="13" t="n">
        <v>20</v>
      </c>
      <c r="J85" s="13"/>
      <c r="K85" s="13"/>
      <c r="L85" s="13"/>
      <c r="M85" s="13"/>
      <c r="N85" s="13" t="n">
        <f aca="false">+I85+J85+L85+K85+M85</f>
        <v>20</v>
      </c>
      <c r="O85" s="14" t="n">
        <v>40</v>
      </c>
      <c r="P85" s="14" t="n">
        <f aca="false">ROUND(+O85-N85+Q85,2)</f>
        <v>20</v>
      </c>
      <c r="Q85" s="15"/>
      <c r="R85" s="14"/>
      <c r="S85" s="16"/>
      <c r="T85" s="14"/>
      <c r="U85" s="14"/>
    </row>
    <row r="86" customFormat="false" ht="12.8" hidden="false" customHeight="false" outlineLevel="0" collapsed="false">
      <c r="A86" s="7" t="n">
        <v>88</v>
      </c>
      <c r="B86" s="8" t="s">
        <v>164</v>
      </c>
      <c r="C86" s="9" t="n">
        <v>45041</v>
      </c>
      <c r="D86" s="9" t="s">
        <v>38</v>
      </c>
      <c r="E86" s="10" t="s">
        <v>91</v>
      </c>
      <c r="F86" s="11" t="s">
        <v>40</v>
      </c>
      <c r="G86" s="12"/>
      <c r="H86" s="9"/>
      <c r="I86" s="13" t="n">
        <v>20</v>
      </c>
      <c r="J86" s="13"/>
      <c r="K86" s="13"/>
      <c r="L86" s="13"/>
      <c r="M86" s="13"/>
      <c r="N86" s="13" t="n">
        <f aca="false">+I86+J86+L86+K86+M86</f>
        <v>20</v>
      </c>
      <c r="O86" s="14" t="n">
        <v>20</v>
      </c>
      <c r="P86" s="14" t="n">
        <f aca="false">ROUND(+O86-N86+Q86,2)</f>
        <v>0</v>
      </c>
      <c r="Q86" s="15"/>
      <c r="R86" s="14"/>
      <c r="S86" s="16"/>
      <c r="T86" s="14"/>
      <c r="U86" s="14"/>
    </row>
    <row r="87" customFormat="false" ht="12.8" hidden="false" customHeight="false" outlineLevel="0" collapsed="false">
      <c r="A87" s="7" t="n">
        <v>89</v>
      </c>
      <c r="B87" s="8" t="s">
        <v>165</v>
      </c>
      <c r="C87" s="9" t="n">
        <v>45041</v>
      </c>
      <c r="D87" s="9" t="s">
        <v>38</v>
      </c>
      <c r="E87" s="10" t="s">
        <v>91</v>
      </c>
      <c r="F87" s="11" t="s">
        <v>40</v>
      </c>
      <c r="G87" s="12"/>
      <c r="H87" s="9"/>
      <c r="I87" s="13" t="n">
        <v>20</v>
      </c>
      <c r="J87" s="13"/>
      <c r="K87" s="13"/>
      <c r="L87" s="13"/>
      <c r="M87" s="13"/>
      <c r="N87" s="13" t="n">
        <f aca="false">+I87+J87+L87+K87+M87</f>
        <v>20</v>
      </c>
      <c r="O87" s="14" t="n">
        <v>20</v>
      </c>
      <c r="P87" s="14" t="n">
        <f aca="false">ROUND(+O87-N87+Q87,2)</f>
        <v>0</v>
      </c>
      <c r="Q87" s="15"/>
      <c r="R87" s="14"/>
      <c r="S87" s="16"/>
      <c r="T87" s="14"/>
      <c r="U87" s="14"/>
    </row>
    <row r="88" customFormat="false" ht="12.8" hidden="false" customHeight="false" outlineLevel="0" collapsed="false">
      <c r="A88" s="7" t="n">
        <v>90</v>
      </c>
      <c r="B88" s="8" t="s">
        <v>166</v>
      </c>
      <c r="C88" s="9" t="n">
        <v>45042</v>
      </c>
      <c r="D88" s="9" t="s">
        <v>38</v>
      </c>
      <c r="E88" s="10" t="s">
        <v>91</v>
      </c>
      <c r="F88" s="11" t="s">
        <v>40</v>
      </c>
      <c r="G88" s="12"/>
      <c r="H88" s="9"/>
      <c r="I88" s="13" t="n">
        <v>30</v>
      </c>
      <c r="J88" s="13"/>
      <c r="K88" s="13"/>
      <c r="L88" s="13"/>
      <c r="M88" s="13"/>
      <c r="N88" s="13" t="n">
        <f aca="false">+I88+J88+L88+K88+M88</f>
        <v>30</v>
      </c>
      <c r="O88" s="14" t="n">
        <v>30</v>
      </c>
      <c r="P88" s="14" t="n">
        <f aca="false">ROUND(+O88-N88+Q88,2)</f>
        <v>0</v>
      </c>
      <c r="Q88" s="15"/>
      <c r="R88" s="14"/>
      <c r="S88" s="16"/>
      <c r="T88" s="14"/>
      <c r="U88" s="14"/>
    </row>
    <row r="89" customFormat="false" ht="12.8" hidden="false" customHeight="false" outlineLevel="0" collapsed="false">
      <c r="A89" s="7" t="n">
        <v>91</v>
      </c>
      <c r="B89" s="8" t="s">
        <v>167</v>
      </c>
      <c r="C89" s="9" t="n">
        <v>45042</v>
      </c>
      <c r="D89" s="9" t="s">
        <v>38</v>
      </c>
      <c r="E89" s="10" t="s">
        <v>91</v>
      </c>
      <c r="F89" s="11" t="s">
        <v>40</v>
      </c>
      <c r="G89" s="12"/>
      <c r="H89" s="9"/>
      <c r="I89" s="13" t="n">
        <v>30</v>
      </c>
      <c r="J89" s="13"/>
      <c r="K89" s="13"/>
      <c r="L89" s="13"/>
      <c r="M89" s="13"/>
      <c r="N89" s="13" t="n">
        <f aca="false">+I89+J89+L89+K89+M89</f>
        <v>30</v>
      </c>
      <c r="O89" s="14" t="n">
        <v>30</v>
      </c>
      <c r="P89" s="14" t="n">
        <f aca="false">ROUND(+O89-N89+Q89,2)</f>
        <v>0</v>
      </c>
      <c r="Q89" s="15"/>
      <c r="R89" s="14"/>
      <c r="S89" s="16"/>
      <c r="T89" s="14"/>
      <c r="U89" s="14"/>
    </row>
    <row r="90" customFormat="false" ht="12.8" hidden="false" customHeight="false" outlineLevel="0" collapsed="false">
      <c r="A90" s="7" t="n">
        <v>92</v>
      </c>
      <c r="B90" s="8" t="s">
        <v>168</v>
      </c>
      <c r="C90" s="9" t="n">
        <v>45042</v>
      </c>
      <c r="D90" s="9" t="s">
        <v>38</v>
      </c>
      <c r="E90" s="10" t="s">
        <v>91</v>
      </c>
      <c r="F90" s="11" t="s">
        <v>40</v>
      </c>
      <c r="G90" s="12"/>
      <c r="H90" s="9"/>
      <c r="I90" s="13" t="n">
        <v>30</v>
      </c>
      <c r="J90" s="13"/>
      <c r="K90" s="13"/>
      <c r="L90" s="13"/>
      <c r="M90" s="13"/>
      <c r="N90" s="13" t="n">
        <f aca="false">+I90+J90+L90+K90+M90</f>
        <v>30</v>
      </c>
      <c r="O90" s="14"/>
      <c r="P90" s="14" t="n">
        <f aca="false">ROUND(+O90-N90+Q90,2)</f>
        <v>-30</v>
      </c>
      <c r="Q90" s="15"/>
      <c r="R90" s="14"/>
      <c r="S90" s="16"/>
      <c r="T90" s="14"/>
      <c r="U90" s="14"/>
    </row>
    <row r="91" customFormat="false" ht="12.8" hidden="false" customHeight="false" outlineLevel="0" collapsed="false">
      <c r="A91" s="7" t="n">
        <v>93</v>
      </c>
      <c r="B91" s="8" t="s">
        <v>169</v>
      </c>
      <c r="C91" s="9" t="n">
        <v>45042</v>
      </c>
      <c r="D91" s="9" t="s">
        <v>38</v>
      </c>
      <c r="E91" s="10" t="s">
        <v>91</v>
      </c>
      <c r="F91" s="11" t="s">
        <v>40</v>
      </c>
      <c r="G91" s="12"/>
      <c r="H91" s="9"/>
      <c r="I91" s="13"/>
      <c r="J91" s="13"/>
      <c r="K91" s="13"/>
      <c r="L91" s="13"/>
      <c r="M91" s="13"/>
      <c r="N91" s="13" t="n">
        <f aca="false">+I91+J91+L91+K91+M91</f>
        <v>0</v>
      </c>
      <c r="O91" s="14"/>
      <c r="P91" s="14" t="n">
        <f aca="false">ROUND(+O91-N91+Q91,2)</f>
        <v>0</v>
      </c>
      <c r="Q91" s="15"/>
      <c r="R91" s="14"/>
      <c r="S91" s="16"/>
      <c r="T91" s="14"/>
      <c r="U91" s="14"/>
    </row>
    <row r="92" customFormat="false" ht="22.35" hidden="false" customHeight="false" outlineLevel="0" collapsed="false">
      <c r="A92" s="7" t="n">
        <v>94</v>
      </c>
      <c r="B92" s="8" t="s">
        <v>170</v>
      </c>
      <c r="C92" s="9" t="n">
        <v>45042</v>
      </c>
      <c r="D92" s="9" t="s">
        <v>21</v>
      </c>
      <c r="E92" s="10" t="s">
        <v>171</v>
      </c>
      <c r="F92" s="11" t="s">
        <v>23</v>
      </c>
      <c r="G92" s="12"/>
      <c r="H92" s="9"/>
      <c r="I92" s="13" t="n">
        <v>45</v>
      </c>
      <c r="J92" s="13"/>
      <c r="K92" s="13"/>
      <c r="L92" s="13" t="n">
        <v>105.26</v>
      </c>
      <c r="M92" s="13" t="n">
        <v>15</v>
      </c>
      <c r="N92" s="13" t="n">
        <f aca="false">+I92+J92+L92+K92+M92</f>
        <v>165.26</v>
      </c>
      <c r="O92" s="14" t="n">
        <v>165.26</v>
      </c>
      <c r="P92" s="14" t="n">
        <f aca="false">ROUND(+O92-N92+Q92,2)</f>
        <v>0</v>
      </c>
      <c r="Q92" s="15"/>
      <c r="R92" s="14" t="s">
        <v>34</v>
      </c>
      <c r="S92" s="16"/>
      <c r="T92" s="14"/>
      <c r="U92" s="14"/>
    </row>
    <row r="93" customFormat="false" ht="12.8" hidden="false" customHeight="false" outlineLevel="0" collapsed="false">
      <c r="A93" s="7" t="n">
        <v>95</v>
      </c>
      <c r="B93" s="8" t="s">
        <v>96</v>
      </c>
      <c r="C93" s="9" t="n">
        <v>45042</v>
      </c>
      <c r="D93" s="9" t="s">
        <v>21</v>
      </c>
      <c r="E93" s="10" t="s">
        <v>172</v>
      </c>
      <c r="F93" s="11" t="s">
        <v>23</v>
      </c>
      <c r="G93" s="12"/>
      <c r="H93" s="9"/>
      <c r="I93" s="13" t="n">
        <v>10</v>
      </c>
      <c r="J93" s="13"/>
      <c r="K93" s="13"/>
      <c r="L93" s="13" t="n">
        <v>11.8</v>
      </c>
      <c r="M93" s="13"/>
      <c r="N93" s="13" t="n">
        <f aca="false">+I93+J93+L93+K93+M93</f>
        <v>21.8</v>
      </c>
      <c r="O93" s="14"/>
      <c r="P93" s="14" t="n">
        <f aca="false">ROUND(+O93-N93+Q93,2)</f>
        <v>-21.8</v>
      </c>
      <c r="Q93" s="15"/>
      <c r="R93" s="14" t="s">
        <v>34</v>
      </c>
      <c r="S93" s="16"/>
      <c r="T93" s="14"/>
      <c r="U93" s="14"/>
    </row>
    <row r="94" customFormat="false" ht="12.8" hidden="false" customHeight="false" outlineLevel="0" collapsed="false">
      <c r="A94" s="7" t="n">
        <v>96</v>
      </c>
      <c r="B94" s="8" t="s">
        <v>173</v>
      </c>
      <c r="C94" s="9" t="n">
        <v>45042</v>
      </c>
      <c r="D94" s="9" t="s">
        <v>21</v>
      </c>
      <c r="E94" s="10"/>
      <c r="F94" s="11" t="s">
        <v>23</v>
      </c>
      <c r="G94" s="12"/>
      <c r="H94" s="9"/>
      <c r="I94" s="13" t="n">
        <v>10</v>
      </c>
      <c r="J94" s="13"/>
      <c r="K94" s="13"/>
      <c r="L94" s="13"/>
      <c r="M94" s="13" t="n">
        <v>11.8</v>
      </c>
      <c r="N94" s="13" t="n">
        <f aca="false">+I94+J94+L94+K94+M94</f>
        <v>21.8</v>
      </c>
      <c r="O94" s="14" t="n">
        <v>21.8</v>
      </c>
      <c r="P94" s="14" t="n">
        <f aca="false">ROUND(+O94-N94+Q94,2)</f>
        <v>0</v>
      </c>
      <c r="Q94" s="15"/>
      <c r="R94" s="14" t="s">
        <v>34</v>
      </c>
      <c r="S94" s="16"/>
      <c r="T94" s="14"/>
      <c r="U94" s="14"/>
    </row>
    <row r="95" customFormat="false" ht="12.8" hidden="false" customHeight="false" outlineLevel="0" collapsed="false">
      <c r="A95" s="7" t="n">
        <v>97</v>
      </c>
      <c r="B95" s="8" t="s">
        <v>174</v>
      </c>
      <c r="C95" s="9" t="n">
        <v>45042</v>
      </c>
      <c r="D95" s="9" t="s">
        <v>38</v>
      </c>
      <c r="E95" s="10" t="s">
        <v>91</v>
      </c>
      <c r="F95" s="11" t="s">
        <v>40</v>
      </c>
      <c r="G95" s="12"/>
      <c r="H95" s="9"/>
      <c r="I95" s="13" t="n">
        <v>30</v>
      </c>
      <c r="J95" s="13"/>
      <c r="K95" s="13"/>
      <c r="L95" s="13"/>
      <c r="M95" s="13"/>
      <c r="N95" s="13" t="n">
        <f aca="false">+I95+J95+L95+K95+M95</f>
        <v>30</v>
      </c>
      <c r="O95" s="14" t="n">
        <v>30</v>
      </c>
      <c r="P95" s="14" t="n">
        <f aca="false">ROUND(+O95-N95+Q95,2)</f>
        <v>0</v>
      </c>
      <c r="Q95" s="15"/>
      <c r="R95" s="14"/>
      <c r="S95" s="16"/>
      <c r="T95" s="14"/>
      <c r="U95" s="14"/>
    </row>
    <row r="96" customFormat="false" ht="12.8" hidden="false" customHeight="false" outlineLevel="0" collapsed="false">
      <c r="A96" s="7" t="n">
        <v>98</v>
      </c>
      <c r="B96" s="8" t="s">
        <v>175</v>
      </c>
      <c r="C96" s="9" t="n">
        <v>45042</v>
      </c>
      <c r="D96" s="9" t="s">
        <v>38</v>
      </c>
      <c r="E96" s="10" t="s">
        <v>91</v>
      </c>
      <c r="F96" s="11" t="s">
        <v>40</v>
      </c>
      <c r="G96" s="12"/>
      <c r="H96" s="9"/>
      <c r="I96" s="13" t="n">
        <v>15</v>
      </c>
      <c r="J96" s="13"/>
      <c r="K96" s="13"/>
      <c r="L96" s="13"/>
      <c r="M96" s="13"/>
      <c r="N96" s="13" t="n">
        <f aca="false">+I96+J96+L96+K96+M96</f>
        <v>15</v>
      </c>
      <c r="O96" s="14" t="n">
        <v>15</v>
      </c>
      <c r="P96" s="14" t="n">
        <f aca="false">ROUND(+O96-N96+Q96,2)</f>
        <v>0</v>
      </c>
      <c r="Q96" s="15"/>
      <c r="R96" s="14"/>
      <c r="S96" s="16"/>
      <c r="T96" s="14"/>
      <c r="U96" s="14"/>
    </row>
    <row r="97" customFormat="false" ht="12.8" hidden="false" customHeight="false" outlineLevel="0" collapsed="false">
      <c r="A97" s="7" t="n">
        <v>99</v>
      </c>
      <c r="B97" s="8" t="s">
        <v>176</v>
      </c>
      <c r="C97" s="9" t="n">
        <v>45042</v>
      </c>
      <c r="D97" s="9" t="s">
        <v>38</v>
      </c>
      <c r="E97" s="10" t="s">
        <v>91</v>
      </c>
      <c r="F97" s="11" t="s">
        <v>40</v>
      </c>
      <c r="G97" s="12"/>
      <c r="H97" s="9"/>
      <c r="I97" s="13" t="n">
        <v>20</v>
      </c>
      <c r="J97" s="13"/>
      <c r="K97" s="13"/>
      <c r="L97" s="13"/>
      <c r="M97" s="13"/>
      <c r="N97" s="13" t="n">
        <f aca="false">+I97+J97+L97+K97+M97</f>
        <v>20</v>
      </c>
      <c r="O97" s="14" t="n">
        <v>20</v>
      </c>
      <c r="P97" s="14" t="n">
        <f aca="false">ROUND(+O97-N97+Q97,2)</f>
        <v>0</v>
      </c>
      <c r="Q97" s="15"/>
      <c r="R97" s="14"/>
      <c r="S97" s="16"/>
      <c r="T97" s="14"/>
      <c r="U97" s="14"/>
    </row>
    <row r="98" customFormat="false" ht="12.8" hidden="false" customHeight="false" outlineLevel="0" collapsed="false">
      <c r="A98" s="7" t="n">
        <v>100</v>
      </c>
      <c r="B98" s="8" t="s">
        <v>177</v>
      </c>
      <c r="C98" s="9" t="n">
        <v>45042</v>
      </c>
      <c r="D98" s="9" t="s">
        <v>38</v>
      </c>
      <c r="E98" s="10" t="s">
        <v>91</v>
      </c>
      <c r="F98" s="11" t="s">
        <v>40</v>
      </c>
      <c r="G98" s="12"/>
      <c r="H98" s="9"/>
      <c r="I98" s="13" t="n">
        <v>20</v>
      </c>
      <c r="J98" s="13"/>
      <c r="K98" s="13"/>
      <c r="L98" s="13"/>
      <c r="M98" s="13"/>
      <c r="N98" s="13" t="n">
        <f aca="false">+I98+J98+L98+K98+M98</f>
        <v>20</v>
      </c>
      <c r="O98" s="14" t="n">
        <v>20</v>
      </c>
      <c r="P98" s="14" t="n">
        <f aca="false">ROUND(+O98-N98+Q98,2)</f>
        <v>0</v>
      </c>
      <c r="Q98" s="15"/>
      <c r="R98" s="14"/>
      <c r="S98" s="16"/>
      <c r="T98" s="14"/>
      <c r="U98" s="14"/>
    </row>
    <row r="99" customFormat="false" ht="12.8" hidden="false" customHeight="false" outlineLevel="0" collapsed="false">
      <c r="A99" s="7" t="n">
        <v>101</v>
      </c>
      <c r="B99" s="8" t="s">
        <v>178</v>
      </c>
      <c r="C99" s="9" t="n">
        <v>45042</v>
      </c>
      <c r="D99" s="9" t="s">
        <v>38</v>
      </c>
      <c r="E99" s="10" t="s">
        <v>91</v>
      </c>
      <c r="F99" s="11" t="s">
        <v>40</v>
      </c>
      <c r="G99" s="12"/>
      <c r="H99" s="9"/>
      <c r="I99" s="13" t="n">
        <v>20</v>
      </c>
      <c r="J99" s="13"/>
      <c r="K99" s="13"/>
      <c r="L99" s="13"/>
      <c r="M99" s="13"/>
      <c r="N99" s="13" t="n">
        <f aca="false">+I99+J99+L99+K99+M99</f>
        <v>20</v>
      </c>
      <c r="O99" s="14"/>
      <c r="P99" s="14" t="n">
        <f aca="false">ROUND(+O99-N99+Q99,2)</f>
        <v>-20</v>
      </c>
      <c r="Q99" s="15"/>
      <c r="R99" s="14"/>
      <c r="S99" s="16"/>
      <c r="T99" s="14"/>
      <c r="U99" s="14"/>
    </row>
    <row r="100" customFormat="false" ht="12.8" hidden="false" customHeight="false" outlineLevel="0" collapsed="false">
      <c r="A100" s="7" t="n">
        <v>102</v>
      </c>
      <c r="B100" s="8" t="s">
        <v>179</v>
      </c>
      <c r="C100" s="9" t="n">
        <v>45042</v>
      </c>
      <c r="D100" s="9" t="s">
        <v>38</v>
      </c>
      <c r="E100" s="10" t="s">
        <v>91</v>
      </c>
      <c r="F100" s="11" t="s">
        <v>40</v>
      </c>
      <c r="G100" s="12"/>
      <c r="H100" s="9"/>
      <c r="I100" s="13" t="n">
        <v>20</v>
      </c>
      <c r="J100" s="13"/>
      <c r="K100" s="13"/>
      <c r="L100" s="13"/>
      <c r="M100" s="13"/>
      <c r="N100" s="13" t="n">
        <f aca="false">+I100+J100+L100+K100+M100</f>
        <v>20</v>
      </c>
      <c r="O100" s="14"/>
      <c r="P100" s="14" t="n">
        <f aca="false">ROUND(+O100-N100+Q100,2)</f>
        <v>-20</v>
      </c>
      <c r="Q100" s="15"/>
      <c r="R100" s="14"/>
      <c r="S100" s="16"/>
      <c r="T100" s="14"/>
      <c r="U100" s="14"/>
    </row>
    <row r="101" customFormat="false" ht="12.8" hidden="false" customHeight="false" outlineLevel="0" collapsed="false">
      <c r="A101" s="7" t="n">
        <v>103</v>
      </c>
      <c r="B101" s="8" t="s">
        <v>180</v>
      </c>
      <c r="C101" s="9" t="n">
        <v>45042</v>
      </c>
      <c r="D101" s="9" t="s">
        <v>38</v>
      </c>
      <c r="E101" s="10" t="s">
        <v>91</v>
      </c>
      <c r="F101" s="11" t="s">
        <v>40</v>
      </c>
      <c r="G101" s="12"/>
      <c r="H101" s="9"/>
      <c r="I101" s="13"/>
      <c r="J101" s="13"/>
      <c r="K101" s="13"/>
      <c r="L101" s="13"/>
      <c r="M101" s="13"/>
      <c r="N101" s="13" t="n">
        <f aca="false">+I101+J101+L101+K101+M101</f>
        <v>0</v>
      </c>
      <c r="O101" s="14"/>
      <c r="P101" s="14" t="n">
        <f aca="false">ROUND(+O101-N101+Q101,2)</f>
        <v>0</v>
      </c>
      <c r="Q101" s="15"/>
      <c r="R101" s="14"/>
      <c r="S101" s="16"/>
      <c r="T101" s="14"/>
      <c r="U101" s="14"/>
    </row>
    <row r="102" customFormat="false" ht="12.8" hidden="false" customHeight="false" outlineLevel="0" collapsed="false">
      <c r="A102" s="7" t="n">
        <v>104</v>
      </c>
      <c r="B102" s="8" t="s">
        <v>181</v>
      </c>
      <c r="C102" s="9" t="n">
        <v>45042</v>
      </c>
      <c r="D102" s="9" t="s">
        <v>38</v>
      </c>
      <c r="E102" s="10" t="s">
        <v>91</v>
      </c>
      <c r="F102" s="11" t="s">
        <v>40</v>
      </c>
      <c r="G102" s="12"/>
      <c r="H102" s="9"/>
      <c r="I102" s="13" t="n">
        <v>30</v>
      </c>
      <c r="J102" s="13"/>
      <c r="K102" s="13"/>
      <c r="L102" s="13"/>
      <c r="M102" s="13"/>
      <c r="N102" s="13" t="n">
        <f aca="false">+I102+J102+L102+K102+M102</f>
        <v>30</v>
      </c>
      <c r="O102" s="14" t="n">
        <v>30</v>
      </c>
      <c r="P102" s="14" t="n">
        <f aca="false">ROUND(+O102-N102+Q102,2)</f>
        <v>0</v>
      </c>
      <c r="Q102" s="15"/>
      <c r="R102" s="14"/>
      <c r="S102" s="16"/>
      <c r="T102" s="14"/>
      <c r="U102" s="14"/>
    </row>
    <row r="103" customFormat="false" ht="12.8" hidden="false" customHeight="false" outlineLevel="0" collapsed="false">
      <c r="A103" s="7" t="n">
        <v>105</v>
      </c>
      <c r="B103" s="8" t="s">
        <v>182</v>
      </c>
      <c r="C103" s="9" t="n">
        <v>45042</v>
      </c>
      <c r="D103" s="9" t="s">
        <v>38</v>
      </c>
      <c r="E103" s="10" t="s">
        <v>91</v>
      </c>
      <c r="F103" s="11" t="s">
        <v>40</v>
      </c>
      <c r="G103" s="12"/>
      <c r="H103" s="9"/>
      <c r="I103" s="13" t="n">
        <v>20</v>
      </c>
      <c r="J103" s="13"/>
      <c r="K103" s="13"/>
      <c r="L103" s="13"/>
      <c r="M103" s="13"/>
      <c r="N103" s="13" t="n">
        <f aca="false">+I103+J103+L103+K103+M103</f>
        <v>20</v>
      </c>
      <c r="O103" s="14" t="n">
        <v>20</v>
      </c>
      <c r="P103" s="14" t="n">
        <f aca="false">ROUND(+O103-N103+Q103,2)</f>
        <v>0</v>
      </c>
      <c r="Q103" s="15"/>
      <c r="R103" s="14"/>
      <c r="S103" s="16"/>
      <c r="T103" s="14"/>
      <c r="U103" s="14"/>
    </row>
    <row r="104" customFormat="false" ht="12.8" hidden="false" customHeight="false" outlineLevel="0" collapsed="false">
      <c r="A104" s="7" t="n">
        <v>106</v>
      </c>
      <c r="B104" s="8" t="s">
        <v>183</v>
      </c>
      <c r="C104" s="9" t="n">
        <v>45042</v>
      </c>
      <c r="D104" s="9" t="s">
        <v>38</v>
      </c>
      <c r="E104" s="10" t="s">
        <v>91</v>
      </c>
      <c r="F104" s="11" t="s">
        <v>40</v>
      </c>
      <c r="G104" s="12"/>
      <c r="H104" s="9"/>
      <c r="I104" s="13" t="n">
        <v>30</v>
      </c>
      <c r="J104" s="13"/>
      <c r="K104" s="13"/>
      <c r="L104" s="13"/>
      <c r="M104" s="13"/>
      <c r="N104" s="13" t="n">
        <f aca="false">+I104+J104+L104+K104+M104</f>
        <v>30</v>
      </c>
      <c r="O104" s="14" t="n">
        <v>30</v>
      </c>
      <c r="P104" s="14" t="n">
        <f aca="false">ROUND(+O104-N104+Q104,2)</f>
        <v>0</v>
      </c>
      <c r="Q104" s="15"/>
      <c r="R104" s="14"/>
      <c r="S104" s="16"/>
      <c r="T104" s="14"/>
      <c r="U104" s="14"/>
    </row>
    <row r="105" customFormat="false" ht="12.8" hidden="false" customHeight="false" outlineLevel="0" collapsed="false">
      <c r="A105" s="7" t="n">
        <v>107</v>
      </c>
      <c r="B105" s="8" t="s">
        <v>184</v>
      </c>
      <c r="C105" s="9" t="n">
        <v>45042</v>
      </c>
      <c r="D105" s="9" t="s">
        <v>38</v>
      </c>
      <c r="E105" s="10" t="s">
        <v>91</v>
      </c>
      <c r="F105" s="11" t="s">
        <v>40</v>
      </c>
      <c r="G105" s="12"/>
      <c r="H105" s="9"/>
      <c r="I105" s="13" t="n">
        <v>20</v>
      </c>
      <c r="J105" s="13"/>
      <c r="K105" s="13"/>
      <c r="L105" s="13"/>
      <c r="M105" s="13"/>
      <c r="N105" s="13" t="n">
        <f aca="false">+I105+J105+L105+K105+M105</f>
        <v>20</v>
      </c>
      <c r="O105" s="14" t="n">
        <v>20</v>
      </c>
      <c r="P105" s="14" t="n">
        <f aca="false">ROUND(+O105-N105+Q105,2)</f>
        <v>0</v>
      </c>
      <c r="Q105" s="15"/>
      <c r="R105" s="14"/>
      <c r="S105" s="16"/>
      <c r="T105" s="14"/>
      <c r="U105" s="14"/>
    </row>
    <row r="106" customFormat="false" ht="12.8" hidden="false" customHeight="false" outlineLevel="0" collapsed="false">
      <c r="A106" s="7" t="n">
        <v>108</v>
      </c>
      <c r="B106" s="8" t="s">
        <v>185</v>
      </c>
      <c r="C106" s="9" t="n">
        <v>45042</v>
      </c>
      <c r="D106" s="9" t="s">
        <v>38</v>
      </c>
      <c r="E106" s="10" t="s">
        <v>91</v>
      </c>
      <c r="F106" s="11" t="s">
        <v>40</v>
      </c>
      <c r="G106" s="12"/>
      <c r="H106" s="9"/>
      <c r="I106" s="13" t="n">
        <v>45</v>
      </c>
      <c r="J106" s="13"/>
      <c r="K106" s="13"/>
      <c r="L106" s="13"/>
      <c r="M106" s="13"/>
      <c r="N106" s="13" t="n">
        <f aca="false">+I106+J106+L106+K106+M106</f>
        <v>45</v>
      </c>
      <c r="O106" s="14" t="n">
        <v>45</v>
      </c>
      <c r="P106" s="14" t="n">
        <f aca="false">ROUND(+O106-N106+Q106,2)</f>
        <v>0</v>
      </c>
      <c r="Q106" s="15"/>
      <c r="R106" s="14"/>
      <c r="S106" s="16"/>
      <c r="T106" s="14"/>
      <c r="U106" s="14"/>
    </row>
    <row r="107" customFormat="false" ht="12.8" hidden="false" customHeight="false" outlineLevel="0" collapsed="false">
      <c r="A107" s="7" t="n">
        <v>109</v>
      </c>
      <c r="B107" s="8" t="s">
        <v>186</v>
      </c>
      <c r="C107" s="9" t="n">
        <v>45043</v>
      </c>
      <c r="D107" s="9" t="s">
        <v>38</v>
      </c>
      <c r="E107" s="10" t="s">
        <v>91</v>
      </c>
      <c r="F107" s="11" t="s">
        <v>40</v>
      </c>
      <c r="G107" s="12"/>
      <c r="H107" s="9"/>
      <c r="I107" s="13" t="n">
        <v>20</v>
      </c>
      <c r="J107" s="13"/>
      <c r="K107" s="13"/>
      <c r="L107" s="13"/>
      <c r="M107" s="13"/>
      <c r="N107" s="13" t="n">
        <f aca="false">+I107+J107+L107+K107+M107</f>
        <v>20</v>
      </c>
      <c r="O107" s="14" t="n">
        <v>20</v>
      </c>
      <c r="P107" s="14" t="n">
        <f aca="false">ROUND(+O107-N107+Q107,2)</f>
        <v>0</v>
      </c>
      <c r="Q107" s="15"/>
      <c r="R107" s="14"/>
      <c r="S107" s="16"/>
      <c r="T107" s="14"/>
      <c r="U107" s="14"/>
    </row>
    <row r="108" customFormat="false" ht="12.8" hidden="false" customHeight="false" outlineLevel="0" collapsed="false">
      <c r="A108" s="7" t="n">
        <v>110</v>
      </c>
      <c r="B108" s="8" t="s">
        <v>187</v>
      </c>
      <c r="C108" s="9" t="n">
        <v>45043</v>
      </c>
      <c r="D108" s="9" t="s">
        <v>38</v>
      </c>
      <c r="E108" s="10" t="s">
        <v>91</v>
      </c>
      <c r="F108" s="11" t="s">
        <v>40</v>
      </c>
      <c r="G108" s="12"/>
      <c r="H108" s="9"/>
      <c r="I108" s="13" t="n">
        <v>40</v>
      </c>
      <c r="J108" s="13"/>
      <c r="K108" s="13"/>
      <c r="L108" s="13"/>
      <c r="M108" s="13"/>
      <c r="N108" s="13" t="n">
        <f aca="false">+I108+J108+L108+K108+M108</f>
        <v>40</v>
      </c>
      <c r="O108" s="14" t="n">
        <v>40</v>
      </c>
      <c r="P108" s="14" t="n">
        <f aca="false">ROUND(+O108-N108+Q108,2)</f>
        <v>0</v>
      </c>
      <c r="Q108" s="15"/>
      <c r="R108" s="14"/>
      <c r="S108" s="16"/>
      <c r="T108" s="14"/>
      <c r="U108" s="14"/>
    </row>
    <row r="109" customFormat="false" ht="12.8" hidden="false" customHeight="false" outlineLevel="0" collapsed="false">
      <c r="A109" s="7" t="n">
        <v>111</v>
      </c>
      <c r="B109" s="8" t="s">
        <v>45</v>
      </c>
      <c r="C109" s="9" t="n">
        <v>45043</v>
      </c>
      <c r="D109" s="9" t="s">
        <v>21</v>
      </c>
      <c r="E109" s="10" t="s">
        <v>188</v>
      </c>
      <c r="F109" s="11" t="s">
        <v>23</v>
      </c>
      <c r="G109" s="12"/>
      <c r="H109" s="9"/>
      <c r="I109" s="13" t="n">
        <v>10</v>
      </c>
      <c r="J109" s="13"/>
      <c r="K109" s="13"/>
      <c r="L109" s="13" t="n">
        <v>11.8</v>
      </c>
      <c r="M109" s="13"/>
      <c r="N109" s="13" t="n">
        <f aca="false">+I109+J109+L109+K109+M109</f>
        <v>21.8</v>
      </c>
      <c r="O109" s="14"/>
      <c r="P109" s="14" t="n">
        <f aca="false">ROUND(+O109-N109+Q109,2)</f>
        <v>-21.8</v>
      </c>
      <c r="Q109" s="15"/>
      <c r="R109" s="14" t="s">
        <v>34</v>
      </c>
      <c r="S109" s="16"/>
      <c r="T109" s="14"/>
      <c r="U109" s="14"/>
    </row>
    <row r="110" customFormat="false" ht="12.8" hidden="false" customHeight="false" outlineLevel="0" collapsed="false">
      <c r="A110" s="7" t="n">
        <v>112</v>
      </c>
      <c r="B110" s="8" t="s">
        <v>189</v>
      </c>
      <c r="C110" s="9" t="n">
        <v>45043</v>
      </c>
      <c r="D110" s="9" t="s">
        <v>38</v>
      </c>
      <c r="E110" s="10" t="s">
        <v>91</v>
      </c>
      <c r="F110" s="11" t="s">
        <v>40</v>
      </c>
      <c r="G110" s="12"/>
      <c r="H110" s="9"/>
      <c r="I110" s="13" t="n">
        <v>0</v>
      </c>
      <c r="J110" s="13"/>
      <c r="K110" s="13"/>
      <c r="L110" s="13"/>
      <c r="M110" s="13"/>
      <c r="N110" s="13" t="n">
        <f aca="false">+I110+J110+L110+K110+M110</f>
        <v>0</v>
      </c>
      <c r="O110" s="14" t="n">
        <v>0</v>
      </c>
      <c r="P110" s="14" t="n">
        <f aca="false">ROUND(+O110-N110+Q110,2)</f>
        <v>0</v>
      </c>
      <c r="Q110" s="15"/>
      <c r="R110" s="14"/>
      <c r="S110" s="16"/>
      <c r="T110" s="14"/>
      <c r="U110" s="14"/>
    </row>
    <row r="111" customFormat="false" ht="12.8" hidden="false" customHeight="false" outlineLevel="0" collapsed="false">
      <c r="A111" s="7" t="n">
        <v>113</v>
      </c>
      <c r="B111" s="8" t="s">
        <v>190</v>
      </c>
      <c r="C111" s="9" t="n">
        <v>45043</v>
      </c>
      <c r="D111" s="9" t="s">
        <v>38</v>
      </c>
      <c r="E111" s="10" t="s">
        <v>91</v>
      </c>
      <c r="F111" s="11" t="s">
        <v>40</v>
      </c>
      <c r="G111" s="12"/>
      <c r="H111" s="9"/>
      <c r="I111" s="13" t="n">
        <v>30</v>
      </c>
      <c r="J111" s="13"/>
      <c r="K111" s="13"/>
      <c r="L111" s="13"/>
      <c r="M111" s="13"/>
      <c r="N111" s="13" t="n">
        <f aca="false">+I111+J111+L111+K111+M111</f>
        <v>30</v>
      </c>
      <c r="O111" s="14" t="n">
        <v>30</v>
      </c>
      <c r="P111" s="14" t="n">
        <f aca="false">ROUND(+O111-N111+Q111,2)</f>
        <v>0</v>
      </c>
      <c r="Q111" s="15"/>
      <c r="R111" s="14"/>
      <c r="S111" s="16"/>
      <c r="T111" s="14"/>
      <c r="U111" s="14"/>
    </row>
    <row r="112" customFormat="false" ht="12.8" hidden="false" customHeight="false" outlineLevel="0" collapsed="false">
      <c r="A112" s="7" t="n">
        <v>114</v>
      </c>
      <c r="B112" s="8" t="s">
        <v>191</v>
      </c>
      <c r="C112" s="9" t="n">
        <v>45043</v>
      </c>
      <c r="D112" s="9" t="s">
        <v>38</v>
      </c>
      <c r="E112" s="10" t="s">
        <v>91</v>
      </c>
      <c r="F112" s="11" t="s">
        <v>40</v>
      </c>
      <c r="G112" s="12"/>
      <c r="H112" s="9"/>
      <c r="I112" s="13" t="n">
        <v>20</v>
      </c>
      <c r="J112" s="13"/>
      <c r="K112" s="13"/>
      <c r="L112" s="13"/>
      <c r="M112" s="13"/>
      <c r="N112" s="13" t="n">
        <f aca="false">+I112+J112+L112+K112+M112</f>
        <v>20</v>
      </c>
      <c r="O112" s="14" t="n">
        <v>20</v>
      </c>
      <c r="P112" s="14" t="n">
        <f aca="false">ROUND(+O112-N112+Q112,2)</f>
        <v>0</v>
      </c>
      <c r="Q112" s="15"/>
      <c r="R112" s="14"/>
      <c r="S112" s="16"/>
      <c r="T112" s="14"/>
      <c r="U112" s="14"/>
    </row>
    <row r="113" customFormat="false" ht="12.8" hidden="false" customHeight="false" outlineLevel="0" collapsed="false">
      <c r="A113" s="7" t="n">
        <v>115</v>
      </c>
      <c r="B113" s="8" t="s">
        <v>192</v>
      </c>
      <c r="C113" s="9" t="n">
        <v>45043</v>
      </c>
      <c r="D113" s="9" t="s">
        <v>38</v>
      </c>
      <c r="E113" s="10" t="s">
        <v>91</v>
      </c>
      <c r="F113" s="11" t="s">
        <v>40</v>
      </c>
      <c r="G113" s="12"/>
      <c r="H113" s="9"/>
      <c r="I113" s="13" t="n">
        <v>50</v>
      </c>
      <c r="J113" s="13"/>
      <c r="K113" s="13"/>
      <c r="L113" s="13"/>
      <c r="M113" s="13"/>
      <c r="N113" s="13" t="n">
        <f aca="false">+I113+J113+L113+K113+M113</f>
        <v>50</v>
      </c>
      <c r="O113" s="14" t="n">
        <v>50</v>
      </c>
      <c r="P113" s="14" t="n">
        <f aca="false">ROUND(+O113-N113+Q113,2)</f>
        <v>0</v>
      </c>
      <c r="Q113" s="15"/>
      <c r="R113" s="14"/>
      <c r="S113" s="16"/>
      <c r="T113" s="14"/>
      <c r="U113" s="14"/>
    </row>
    <row r="114" customFormat="false" ht="12.8" hidden="false" customHeight="false" outlineLevel="0" collapsed="false">
      <c r="A114" s="7" t="n">
        <v>116</v>
      </c>
      <c r="B114" s="8" t="s">
        <v>193</v>
      </c>
      <c r="C114" s="9" t="n">
        <v>45043</v>
      </c>
      <c r="D114" s="9" t="s">
        <v>30</v>
      </c>
      <c r="E114" s="10" t="s">
        <v>91</v>
      </c>
      <c r="F114" s="11" t="s">
        <v>40</v>
      </c>
      <c r="G114" s="12"/>
      <c r="H114" s="9"/>
      <c r="I114" s="13" t="n">
        <v>7.5</v>
      </c>
      <c r="J114" s="13"/>
      <c r="K114" s="13"/>
      <c r="L114" s="13"/>
      <c r="M114" s="13" t="n">
        <v>22.5</v>
      </c>
      <c r="N114" s="13" t="n">
        <f aca="false">+I114+J114+L114+K114+M114</f>
        <v>30</v>
      </c>
      <c r="O114" s="14"/>
      <c r="P114" s="14" t="n">
        <f aca="false">ROUND(+O114-N114+Q114,2)</f>
        <v>-30</v>
      </c>
      <c r="Q114" s="15"/>
      <c r="R114" s="14"/>
      <c r="S114" s="16"/>
      <c r="T114" s="14"/>
      <c r="U114" s="14"/>
    </row>
    <row r="115" customFormat="false" ht="12.8" hidden="false" customHeight="false" outlineLevel="0" collapsed="false">
      <c r="A115" s="7" t="n">
        <v>117</v>
      </c>
      <c r="B115" s="8" t="s">
        <v>66</v>
      </c>
      <c r="C115" s="9" t="n">
        <v>45043</v>
      </c>
      <c r="D115" s="9" t="s">
        <v>30</v>
      </c>
      <c r="E115" s="10" t="s">
        <v>91</v>
      </c>
      <c r="F115" s="11" t="s">
        <v>40</v>
      </c>
      <c r="G115" s="12"/>
      <c r="H115" s="9"/>
      <c r="I115" s="13" t="n">
        <v>7.5</v>
      </c>
      <c r="J115" s="13"/>
      <c r="K115" s="13"/>
      <c r="L115" s="13"/>
      <c r="M115" s="13" t="n">
        <v>22.5</v>
      </c>
      <c r="N115" s="13" t="n">
        <f aca="false">+I115+J115+L115+K115+M115</f>
        <v>30</v>
      </c>
      <c r="O115" s="14"/>
      <c r="P115" s="14" t="n">
        <f aca="false">ROUND(+O115-N115+Q115,2)</f>
        <v>-30</v>
      </c>
      <c r="Q115" s="15"/>
      <c r="R115" s="14"/>
      <c r="S115" s="16"/>
      <c r="T115" s="14"/>
      <c r="U115" s="14"/>
    </row>
    <row r="116" customFormat="false" ht="12.8" hidden="false" customHeight="false" outlineLevel="0" collapsed="false">
      <c r="A116" s="7" t="n">
        <v>118</v>
      </c>
      <c r="B116" s="8" t="s">
        <v>194</v>
      </c>
      <c r="C116" s="9" t="n">
        <v>45043</v>
      </c>
      <c r="D116" s="9" t="s">
        <v>30</v>
      </c>
      <c r="E116" s="10" t="s">
        <v>195</v>
      </c>
      <c r="F116" s="11" t="s">
        <v>32</v>
      </c>
      <c r="G116" s="12"/>
      <c r="H116" s="9"/>
      <c r="I116" s="13" t="n">
        <v>3.75</v>
      </c>
      <c r="J116" s="13"/>
      <c r="K116" s="13"/>
      <c r="L116" s="13"/>
      <c r="M116" s="13" t="n">
        <v>11.25</v>
      </c>
      <c r="N116" s="13" t="n">
        <f aca="false">+I116+J116+L116+K116+M116</f>
        <v>15</v>
      </c>
      <c r="O116" s="14" t="n">
        <v>15</v>
      </c>
      <c r="P116" s="14" t="n">
        <f aca="false">ROUND(+O116-N116+Q116,2)</f>
        <v>0</v>
      </c>
      <c r="Q116" s="15"/>
      <c r="R116" s="14"/>
      <c r="S116" s="16" t="n">
        <v>45044</v>
      </c>
      <c r="T116" s="14" t="s">
        <v>196</v>
      </c>
      <c r="U116" s="14" t="s">
        <v>63</v>
      </c>
    </row>
    <row r="117" customFormat="false" ht="22.35" hidden="false" customHeight="false" outlineLevel="0" collapsed="false">
      <c r="A117" s="7" t="n">
        <v>119</v>
      </c>
      <c r="B117" s="8" t="s">
        <v>197</v>
      </c>
      <c r="C117" s="9" t="n">
        <v>45043</v>
      </c>
      <c r="D117" s="9" t="s">
        <v>30</v>
      </c>
      <c r="E117" s="10" t="s">
        <v>198</v>
      </c>
      <c r="F117" s="11" t="s">
        <v>32</v>
      </c>
      <c r="G117" s="12"/>
      <c r="H117" s="9"/>
      <c r="I117" s="13" t="n">
        <v>22.5</v>
      </c>
      <c r="J117" s="13"/>
      <c r="K117" s="13"/>
      <c r="L117" s="13"/>
      <c r="M117" s="13" t="n">
        <v>67.5</v>
      </c>
      <c r="N117" s="13" t="n">
        <f aca="false">+I117+J117+L117+K117+M117</f>
        <v>90</v>
      </c>
      <c r="O117" s="14"/>
      <c r="P117" s="14" t="n">
        <f aca="false">ROUND(+O117-N117+Q117,2)</f>
        <v>-90</v>
      </c>
      <c r="Q117" s="15"/>
      <c r="R117" s="14"/>
      <c r="S117" s="16"/>
      <c r="T117" s="14"/>
      <c r="U117" s="14"/>
    </row>
    <row r="118" s="38" customFormat="true" ht="12.8" hidden="false" customHeight="false" outlineLevel="0" collapsed="false">
      <c r="A118" s="28" t="n">
        <v>120</v>
      </c>
      <c r="B118" s="29" t="s">
        <v>144</v>
      </c>
      <c r="C118" s="30" t="n">
        <v>45048</v>
      </c>
      <c r="D118" s="30" t="s">
        <v>69</v>
      </c>
      <c r="E118" s="31" t="s">
        <v>199</v>
      </c>
      <c r="F118" s="32" t="s">
        <v>23</v>
      </c>
      <c r="G118" s="33"/>
      <c r="H118" s="30"/>
      <c r="I118" s="34" t="n">
        <v>0</v>
      </c>
      <c r="J118" s="34"/>
      <c r="K118" s="34"/>
      <c r="L118" s="34"/>
      <c r="M118" s="34"/>
      <c r="N118" s="34" t="n">
        <f aca="false">+I118+J118+L118+K118+M118</f>
        <v>0</v>
      </c>
      <c r="O118" s="35"/>
      <c r="P118" s="35" t="n">
        <f aca="false">ROUND(+O118-N118+Q118,2)</f>
        <v>0</v>
      </c>
      <c r="Q118" s="36"/>
      <c r="R118" s="35"/>
      <c r="S118" s="37"/>
      <c r="T118" s="35"/>
      <c r="U118" s="35"/>
    </row>
    <row r="119" customFormat="false" ht="12.8" hidden="false" customHeight="false" outlineLevel="0" collapsed="false">
      <c r="A119" s="7" t="n">
        <v>121</v>
      </c>
      <c r="B119" s="8" t="s">
        <v>200</v>
      </c>
      <c r="C119" s="9" t="n">
        <v>45048</v>
      </c>
      <c r="D119" s="9" t="s">
        <v>38</v>
      </c>
      <c r="E119" s="10" t="s">
        <v>91</v>
      </c>
      <c r="F119" s="11" t="s">
        <v>40</v>
      </c>
      <c r="G119" s="12"/>
      <c r="H119" s="9"/>
      <c r="I119" s="13" t="n">
        <v>30</v>
      </c>
      <c r="J119" s="13"/>
      <c r="K119" s="13"/>
      <c r="L119" s="13"/>
      <c r="M119" s="13"/>
      <c r="N119" s="13" t="n">
        <f aca="false">+I119+J119+L119+K119+M119</f>
        <v>30</v>
      </c>
      <c r="O119" s="14" t="n">
        <v>30</v>
      </c>
      <c r="P119" s="14" t="n">
        <f aca="false">ROUND(+O119-N119+Q119,2)</f>
        <v>0</v>
      </c>
      <c r="Q119" s="15"/>
      <c r="R119" s="14"/>
      <c r="S119" s="16"/>
      <c r="T119" s="14"/>
      <c r="U119" s="14"/>
    </row>
    <row r="120" customFormat="false" ht="12.8" hidden="false" customHeight="false" outlineLevel="0" collapsed="false">
      <c r="A120" s="7" t="n">
        <v>122</v>
      </c>
      <c r="B120" s="8" t="s">
        <v>201</v>
      </c>
      <c r="C120" s="9" t="n">
        <v>45048</v>
      </c>
      <c r="D120" s="9" t="s">
        <v>38</v>
      </c>
      <c r="E120" s="10" t="s">
        <v>91</v>
      </c>
      <c r="F120" s="11" t="s">
        <v>40</v>
      </c>
      <c r="G120" s="12"/>
      <c r="H120" s="9"/>
      <c r="I120" s="13" t="n">
        <v>100</v>
      </c>
      <c r="J120" s="13"/>
      <c r="K120" s="13"/>
      <c r="L120" s="13"/>
      <c r="M120" s="13"/>
      <c r="N120" s="13" t="n">
        <f aca="false">+I120+J120+L120+K120+M120</f>
        <v>100</v>
      </c>
      <c r="O120" s="14" t="n">
        <v>100</v>
      </c>
      <c r="P120" s="14" t="n">
        <f aca="false">ROUND(+O120-N120+Q120,2)</f>
        <v>0</v>
      </c>
      <c r="Q120" s="15"/>
      <c r="R120" s="14"/>
      <c r="S120" s="16"/>
      <c r="T120" s="14"/>
      <c r="U120" s="14"/>
    </row>
    <row r="121" customFormat="false" ht="12.8" hidden="false" customHeight="false" outlineLevel="0" collapsed="false">
      <c r="A121" s="7" t="n">
        <v>123</v>
      </c>
      <c r="B121" s="8" t="s">
        <v>81</v>
      </c>
      <c r="C121" s="9" t="n">
        <v>45048</v>
      </c>
      <c r="D121" s="9" t="s">
        <v>38</v>
      </c>
      <c r="E121" s="10" t="s">
        <v>91</v>
      </c>
      <c r="F121" s="11" t="s">
        <v>40</v>
      </c>
      <c r="G121" s="12"/>
      <c r="H121" s="9"/>
      <c r="I121" s="13" t="n">
        <v>45</v>
      </c>
      <c r="J121" s="13"/>
      <c r="K121" s="13"/>
      <c r="L121" s="13"/>
      <c r="M121" s="13"/>
      <c r="N121" s="13" t="n">
        <f aca="false">+I121+J121+L121+K121+M121</f>
        <v>45</v>
      </c>
      <c r="O121" s="14" t="n">
        <v>45</v>
      </c>
      <c r="P121" s="14" t="n">
        <f aca="false">ROUND(+O121-N121+Q121,2)</f>
        <v>0</v>
      </c>
      <c r="Q121" s="15"/>
      <c r="R121" s="14"/>
      <c r="S121" s="16"/>
      <c r="T121" s="14"/>
      <c r="U121" s="14"/>
    </row>
    <row r="122" customFormat="false" ht="12.8" hidden="false" customHeight="false" outlineLevel="0" collapsed="false">
      <c r="A122" s="7" t="n">
        <v>124</v>
      </c>
      <c r="B122" s="8" t="s">
        <v>202</v>
      </c>
      <c r="C122" s="9" t="n">
        <v>45048</v>
      </c>
      <c r="D122" s="9" t="s">
        <v>38</v>
      </c>
      <c r="E122" s="10" t="s">
        <v>91</v>
      </c>
      <c r="F122" s="11" t="s">
        <v>40</v>
      </c>
      <c r="G122" s="12"/>
      <c r="H122" s="9"/>
      <c r="I122" s="13" t="n">
        <v>45</v>
      </c>
      <c r="J122" s="13"/>
      <c r="K122" s="13"/>
      <c r="L122" s="13"/>
      <c r="M122" s="13"/>
      <c r="N122" s="13" t="n">
        <f aca="false">+I122+J122+L122+K122+M122</f>
        <v>45</v>
      </c>
      <c r="O122" s="14" t="n">
        <v>45</v>
      </c>
      <c r="P122" s="14" t="n">
        <f aca="false">ROUND(+O122-N122+Q122,2)</f>
        <v>0</v>
      </c>
      <c r="Q122" s="15"/>
      <c r="R122" s="14"/>
      <c r="S122" s="16"/>
      <c r="T122" s="14"/>
      <c r="U122" s="14"/>
    </row>
    <row r="123" s="38" customFormat="true" ht="22.35" hidden="false" customHeight="false" outlineLevel="0" collapsed="false">
      <c r="A123" s="28" t="n">
        <v>125</v>
      </c>
      <c r="B123" s="29" t="s">
        <v>144</v>
      </c>
      <c r="C123" s="30" t="n">
        <v>45049</v>
      </c>
      <c r="D123" s="30" t="s">
        <v>21</v>
      </c>
      <c r="E123" s="31" t="s">
        <v>203</v>
      </c>
      <c r="F123" s="32" t="s">
        <v>23</v>
      </c>
      <c r="G123" s="33"/>
      <c r="H123" s="30"/>
      <c r="I123" s="34" t="n">
        <v>45</v>
      </c>
      <c r="J123" s="34"/>
      <c r="K123" s="34"/>
      <c r="L123" s="34" t="n">
        <v>117.45</v>
      </c>
      <c r="M123" s="34" t="n">
        <v>15</v>
      </c>
      <c r="N123" s="34" t="n">
        <f aca="false">+I123+J123+L123+K123+M123</f>
        <v>177.45</v>
      </c>
      <c r="O123" s="35" t="n">
        <v>177.45</v>
      </c>
      <c r="P123" s="35" t="n">
        <f aca="false">ROUND(+O123-N123+Q123,2)</f>
        <v>0</v>
      </c>
      <c r="Q123" s="36"/>
      <c r="R123" s="35" t="s">
        <v>34</v>
      </c>
      <c r="S123" s="37"/>
      <c r="T123" s="35"/>
      <c r="U123" s="35"/>
    </row>
    <row r="124" customFormat="false" ht="22.35" hidden="false" customHeight="false" outlineLevel="0" collapsed="false">
      <c r="A124" s="7" t="n">
        <v>126</v>
      </c>
      <c r="B124" s="8" t="s">
        <v>204</v>
      </c>
      <c r="C124" s="9" t="n">
        <v>45049</v>
      </c>
      <c r="D124" s="9" t="s">
        <v>21</v>
      </c>
      <c r="E124" s="10" t="s">
        <v>205</v>
      </c>
      <c r="F124" s="11" t="s">
        <v>23</v>
      </c>
      <c r="G124" s="12"/>
      <c r="H124" s="9"/>
      <c r="I124" s="13" t="n">
        <v>45</v>
      </c>
      <c r="J124" s="13"/>
      <c r="K124" s="13"/>
      <c r="L124" s="13" t="n">
        <v>80.26</v>
      </c>
      <c r="M124" s="13" t="n">
        <v>15</v>
      </c>
      <c r="N124" s="13" t="n">
        <f aca="false">+I124+J124+L124+K124+M124</f>
        <v>140.26</v>
      </c>
      <c r="O124" s="14"/>
      <c r="P124" s="14" t="n">
        <f aca="false">ROUND(+O124-N124+Q124,2)</f>
        <v>-140.26</v>
      </c>
      <c r="Q124" s="15"/>
      <c r="R124" s="14" t="s">
        <v>34</v>
      </c>
      <c r="S124" s="16"/>
      <c r="T124" s="14"/>
      <c r="U124" s="14"/>
    </row>
    <row r="125" s="38" customFormat="true" ht="22.35" hidden="false" customHeight="false" outlineLevel="0" collapsed="false">
      <c r="A125" s="28" t="n">
        <v>127</v>
      </c>
      <c r="B125" s="29" t="s">
        <v>144</v>
      </c>
      <c r="C125" s="30" t="n">
        <v>45050</v>
      </c>
      <c r="D125" s="30" t="s">
        <v>21</v>
      </c>
      <c r="E125" s="31" t="s">
        <v>206</v>
      </c>
      <c r="F125" s="32" t="s">
        <v>23</v>
      </c>
      <c r="G125" s="33"/>
      <c r="H125" s="30"/>
      <c r="I125" s="34"/>
      <c r="J125" s="34"/>
      <c r="K125" s="34"/>
      <c r="L125" s="34" t="n">
        <v>9</v>
      </c>
      <c r="M125" s="34"/>
      <c r="N125" s="34" t="n">
        <f aca="false">+I125+J125+L125+K125+M125</f>
        <v>9</v>
      </c>
      <c r="O125" s="35" t="n">
        <v>9</v>
      </c>
      <c r="P125" s="35" t="n">
        <f aca="false">ROUND(+O125-N125+Q125,2)</f>
        <v>0</v>
      </c>
      <c r="Q125" s="36"/>
      <c r="R125" s="35" t="s">
        <v>34</v>
      </c>
      <c r="S125" s="37"/>
      <c r="T125" s="35"/>
      <c r="U125" s="35"/>
    </row>
    <row r="126" customFormat="false" ht="12.8" hidden="false" customHeight="false" outlineLevel="0" collapsed="false">
      <c r="A126" s="7" t="n">
        <v>128</v>
      </c>
      <c r="B126" s="8" t="s">
        <v>207</v>
      </c>
      <c r="C126" s="9" t="n">
        <v>45050</v>
      </c>
      <c r="D126" s="9" t="s">
        <v>38</v>
      </c>
      <c r="E126" s="10" t="s">
        <v>91</v>
      </c>
      <c r="F126" s="11" t="s">
        <v>40</v>
      </c>
      <c r="G126" s="12"/>
      <c r="H126" s="9"/>
      <c r="I126" s="13" t="n">
        <v>30</v>
      </c>
      <c r="J126" s="13"/>
      <c r="K126" s="13"/>
      <c r="L126" s="13"/>
      <c r="M126" s="13"/>
      <c r="N126" s="13" t="n">
        <f aca="false">+I126+J126+L126+K126+M126</f>
        <v>30</v>
      </c>
      <c r="O126" s="14" t="n">
        <v>30</v>
      </c>
      <c r="P126" s="14" t="n">
        <f aca="false">ROUND(+O126-N126+Q126,2)</f>
        <v>0</v>
      </c>
      <c r="Q126" s="15"/>
      <c r="R126" s="14"/>
      <c r="S126" s="16"/>
      <c r="T126" s="14"/>
      <c r="U126" s="14"/>
    </row>
    <row r="127" customFormat="false" ht="12.8" hidden="false" customHeight="false" outlineLevel="0" collapsed="false">
      <c r="A127" s="7" t="n">
        <v>129</v>
      </c>
      <c r="B127" s="8" t="s">
        <v>208</v>
      </c>
      <c r="C127" s="9" t="n">
        <v>45051</v>
      </c>
      <c r="D127" s="9" t="s">
        <v>38</v>
      </c>
      <c r="E127" s="10" t="s">
        <v>91</v>
      </c>
      <c r="F127" s="11" t="s">
        <v>40</v>
      </c>
      <c r="G127" s="12"/>
      <c r="H127" s="9"/>
      <c r="I127" s="13" t="n">
        <v>30</v>
      </c>
      <c r="J127" s="13"/>
      <c r="K127" s="13"/>
      <c r="L127" s="13"/>
      <c r="M127" s="13"/>
      <c r="N127" s="13" t="n">
        <f aca="false">+I127+J127+L127+K127+M127</f>
        <v>30</v>
      </c>
      <c r="O127" s="14" t="n">
        <v>30</v>
      </c>
      <c r="P127" s="14" t="n">
        <f aca="false">ROUND(+O127-N127+Q127,2)</f>
        <v>0</v>
      </c>
      <c r="Q127" s="15"/>
      <c r="R127" s="14"/>
      <c r="S127" s="16"/>
      <c r="T127" s="14"/>
      <c r="U127" s="14"/>
    </row>
    <row r="128" customFormat="false" ht="12.8" hidden="false" customHeight="false" outlineLevel="0" collapsed="false">
      <c r="A128" s="7" t="n">
        <v>130</v>
      </c>
      <c r="B128" s="8" t="s">
        <v>209</v>
      </c>
      <c r="C128" s="9" t="n">
        <v>45051</v>
      </c>
      <c r="D128" s="9" t="s">
        <v>38</v>
      </c>
      <c r="E128" s="10" t="s">
        <v>91</v>
      </c>
      <c r="F128" s="11" t="s">
        <v>40</v>
      </c>
      <c r="G128" s="12"/>
      <c r="H128" s="9"/>
      <c r="I128" s="13" t="n">
        <v>30</v>
      </c>
      <c r="J128" s="13"/>
      <c r="K128" s="13"/>
      <c r="L128" s="13"/>
      <c r="M128" s="13"/>
      <c r="N128" s="13" t="n">
        <f aca="false">+I128+J128+L128+K128+M128</f>
        <v>30</v>
      </c>
      <c r="O128" s="14" t="n">
        <v>30</v>
      </c>
      <c r="P128" s="14" t="n">
        <f aca="false">ROUND(+O128-N128+Q128,2)</f>
        <v>0</v>
      </c>
      <c r="Q128" s="15"/>
      <c r="R128" s="14"/>
      <c r="S128" s="16"/>
      <c r="T128" s="14"/>
      <c r="U128" s="14"/>
    </row>
    <row r="129" customFormat="false" ht="12.8" hidden="false" customHeight="false" outlineLevel="0" collapsed="false">
      <c r="A129" s="7" t="n">
        <v>131</v>
      </c>
      <c r="B129" s="8" t="s">
        <v>210</v>
      </c>
      <c r="C129" s="9" t="n">
        <v>45054</v>
      </c>
      <c r="D129" s="9" t="s">
        <v>38</v>
      </c>
      <c r="E129" s="10" t="s">
        <v>91</v>
      </c>
      <c r="F129" s="11" t="s">
        <v>40</v>
      </c>
      <c r="G129" s="12"/>
      <c r="H129" s="9"/>
      <c r="I129" s="13" t="n">
        <v>30</v>
      </c>
      <c r="J129" s="13"/>
      <c r="K129" s="13"/>
      <c r="L129" s="13"/>
      <c r="M129" s="13"/>
      <c r="N129" s="13" t="n">
        <f aca="false">+I129+J129+L129+K129+M129</f>
        <v>30</v>
      </c>
      <c r="O129" s="14" t="n">
        <v>30</v>
      </c>
      <c r="P129" s="14" t="n">
        <f aca="false">ROUND(+O129-N129+Q129,2)</f>
        <v>0</v>
      </c>
      <c r="Q129" s="15"/>
      <c r="R129" s="14"/>
      <c r="S129" s="16"/>
      <c r="T129" s="14"/>
      <c r="U129" s="14"/>
    </row>
    <row r="130" customFormat="false" ht="22.35" hidden="false" customHeight="false" outlineLevel="0" collapsed="false">
      <c r="A130" s="7" t="n">
        <v>132</v>
      </c>
      <c r="B130" s="8" t="s">
        <v>211</v>
      </c>
      <c r="C130" s="9" t="n">
        <v>45054</v>
      </c>
      <c r="D130" s="9" t="s">
        <v>21</v>
      </c>
      <c r="E130" s="10" t="s">
        <v>212</v>
      </c>
      <c r="F130" s="11" t="s">
        <v>23</v>
      </c>
      <c r="G130" s="12"/>
      <c r="H130" s="9"/>
      <c r="I130" s="13" t="n">
        <v>50</v>
      </c>
      <c r="J130" s="13"/>
      <c r="K130" s="13"/>
      <c r="L130" s="13" t="n">
        <v>2.42</v>
      </c>
      <c r="M130" s="13" t="n">
        <v>10</v>
      </c>
      <c r="N130" s="13" t="n">
        <f aca="false">+I130+J130+L130+K130+M130</f>
        <v>62.42</v>
      </c>
      <c r="O130" s="14" t="n">
        <v>62.42</v>
      </c>
      <c r="P130" s="14" t="n">
        <f aca="false">ROUND(+O130-N130+Q130,2)</f>
        <v>0</v>
      </c>
      <c r="Q130" s="15"/>
      <c r="R130" s="14" t="s">
        <v>34</v>
      </c>
      <c r="S130" s="16"/>
      <c r="T130" s="14"/>
      <c r="U130" s="14"/>
    </row>
    <row r="131" customFormat="false" ht="12.8" hidden="false" customHeight="false" outlineLevel="0" collapsed="false">
      <c r="A131" s="7" t="n">
        <v>133</v>
      </c>
      <c r="B131" s="8" t="s">
        <v>213</v>
      </c>
      <c r="C131" s="9" t="n">
        <v>45054</v>
      </c>
      <c r="D131" s="9" t="s">
        <v>38</v>
      </c>
      <c r="E131" s="10" t="s">
        <v>91</v>
      </c>
      <c r="F131" s="11" t="s">
        <v>40</v>
      </c>
      <c r="G131" s="12"/>
      <c r="H131" s="9"/>
      <c r="I131" s="13" t="n">
        <v>30</v>
      </c>
      <c r="J131" s="13"/>
      <c r="K131" s="13"/>
      <c r="L131" s="13"/>
      <c r="M131" s="13"/>
      <c r="N131" s="13" t="n">
        <f aca="false">+I131+J131+L131+K131+M131</f>
        <v>30</v>
      </c>
      <c r="O131" s="14" t="n">
        <v>30</v>
      </c>
      <c r="P131" s="14" t="n">
        <f aca="false">ROUND(+O131-N131+Q131,2)</f>
        <v>0</v>
      </c>
      <c r="Q131" s="15"/>
      <c r="R131" s="14"/>
      <c r="S131" s="16"/>
      <c r="T131" s="14"/>
      <c r="U131" s="14"/>
    </row>
    <row r="132" customFormat="false" ht="12.8" hidden="false" customHeight="false" outlineLevel="0" collapsed="false">
      <c r="A132" s="7" t="n">
        <v>134</v>
      </c>
      <c r="B132" s="8" t="s">
        <v>214</v>
      </c>
      <c r="C132" s="9" t="n">
        <v>45054</v>
      </c>
      <c r="D132" s="9" t="s">
        <v>38</v>
      </c>
      <c r="E132" s="10" t="s">
        <v>91</v>
      </c>
      <c r="F132" s="11" t="s">
        <v>40</v>
      </c>
      <c r="G132" s="12"/>
      <c r="H132" s="9"/>
      <c r="I132" s="13" t="n">
        <v>30</v>
      </c>
      <c r="J132" s="13"/>
      <c r="K132" s="13"/>
      <c r="L132" s="13"/>
      <c r="M132" s="13"/>
      <c r="N132" s="13" t="n">
        <f aca="false">+I132+J132+L132+K132+M132</f>
        <v>30</v>
      </c>
      <c r="O132" s="14"/>
      <c r="P132" s="14" t="n">
        <f aca="false">ROUND(+O132-N132+Q132,2)</f>
        <v>-30</v>
      </c>
      <c r="Q132" s="15"/>
      <c r="R132" s="14"/>
      <c r="S132" s="16"/>
      <c r="T132" s="14"/>
      <c r="U132" s="14"/>
    </row>
    <row r="133" customFormat="false" ht="12.8" hidden="false" customHeight="false" outlineLevel="0" collapsed="false">
      <c r="A133" s="7" t="n">
        <v>135</v>
      </c>
      <c r="B133" s="8" t="s">
        <v>215</v>
      </c>
      <c r="C133" s="9" t="n">
        <v>45054</v>
      </c>
      <c r="D133" s="9" t="s">
        <v>38</v>
      </c>
      <c r="E133" s="10" t="s">
        <v>91</v>
      </c>
      <c r="F133" s="11" t="s">
        <v>40</v>
      </c>
      <c r="G133" s="12"/>
      <c r="H133" s="9"/>
      <c r="I133" s="13" t="n">
        <v>45</v>
      </c>
      <c r="J133" s="13"/>
      <c r="K133" s="13"/>
      <c r="L133" s="13"/>
      <c r="M133" s="13"/>
      <c r="N133" s="13" t="n">
        <f aca="false">+I133+J133+L133+K133+M133</f>
        <v>45</v>
      </c>
      <c r="O133" s="14" t="n">
        <v>45</v>
      </c>
      <c r="P133" s="14" t="n">
        <f aca="false">ROUND(+O133-N133+Q133,2)</f>
        <v>0</v>
      </c>
      <c r="Q133" s="15"/>
      <c r="R133" s="14"/>
      <c r="S133" s="16"/>
      <c r="T133" s="14"/>
      <c r="U133" s="14"/>
    </row>
    <row r="134" customFormat="false" ht="12.8" hidden="false" customHeight="false" outlineLevel="0" collapsed="false">
      <c r="A134" s="7" t="n">
        <v>137</v>
      </c>
      <c r="B134" s="8" t="s">
        <v>216</v>
      </c>
      <c r="C134" s="9" t="n">
        <v>45055</v>
      </c>
      <c r="D134" s="9" t="s">
        <v>38</v>
      </c>
      <c r="E134" s="10" t="s">
        <v>91</v>
      </c>
      <c r="F134" s="11" t="s">
        <v>40</v>
      </c>
      <c r="G134" s="12"/>
      <c r="H134" s="9"/>
      <c r="I134" s="13" t="n">
        <v>50</v>
      </c>
      <c r="J134" s="13"/>
      <c r="K134" s="13"/>
      <c r="L134" s="13"/>
      <c r="M134" s="13"/>
      <c r="N134" s="13" t="n">
        <f aca="false">+I134+J134+L134+K134+M134</f>
        <v>50</v>
      </c>
      <c r="O134" s="14" t="n">
        <v>50</v>
      </c>
      <c r="P134" s="14" t="n">
        <f aca="false">ROUND(+O134-N134+Q134,2)</f>
        <v>0</v>
      </c>
      <c r="Q134" s="15"/>
      <c r="R134" s="14"/>
      <c r="S134" s="16"/>
      <c r="T134" s="14"/>
      <c r="U134" s="14"/>
    </row>
    <row r="135" customFormat="false" ht="12.8" hidden="false" customHeight="false" outlineLevel="0" collapsed="false">
      <c r="A135" s="7" t="n">
        <v>138</v>
      </c>
      <c r="B135" s="8" t="s">
        <v>217</v>
      </c>
      <c r="C135" s="9" t="n">
        <v>45055</v>
      </c>
      <c r="D135" s="9" t="s">
        <v>38</v>
      </c>
      <c r="E135" s="10" t="s">
        <v>91</v>
      </c>
      <c r="F135" s="11" t="s">
        <v>40</v>
      </c>
      <c r="G135" s="12"/>
      <c r="H135" s="9"/>
      <c r="I135" s="13" t="n">
        <v>30</v>
      </c>
      <c r="J135" s="13"/>
      <c r="K135" s="13"/>
      <c r="L135" s="13"/>
      <c r="M135" s="13"/>
      <c r="N135" s="13" t="n">
        <f aca="false">+I135+J135+L135+K135+M135</f>
        <v>30</v>
      </c>
      <c r="O135" s="14" t="n">
        <v>30</v>
      </c>
      <c r="P135" s="14" t="n">
        <f aca="false">ROUND(+O135-N135+Q135,2)</f>
        <v>0</v>
      </c>
      <c r="Q135" s="15"/>
      <c r="R135" s="14"/>
      <c r="S135" s="16"/>
      <c r="T135" s="14"/>
      <c r="U135" s="14"/>
    </row>
    <row r="136" customFormat="false" ht="12.8" hidden="false" customHeight="false" outlineLevel="0" collapsed="false">
      <c r="A136" s="7" t="n">
        <v>139</v>
      </c>
      <c r="B136" s="8" t="s">
        <v>218</v>
      </c>
      <c r="C136" s="9" t="n">
        <v>45055</v>
      </c>
      <c r="D136" s="9" t="s">
        <v>38</v>
      </c>
      <c r="E136" s="10" t="s">
        <v>91</v>
      </c>
      <c r="F136" s="11" t="s">
        <v>40</v>
      </c>
      <c r="G136" s="12"/>
      <c r="H136" s="9"/>
      <c r="I136" s="13" t="n">
        <v>30</v>
      </c>
      <c r="J136" s="13"/>
      <c r="K136" s="13"/>
      <c r="L136" s="13"/>
      <c r="M136" s="13"/>
      <c r="N136" s="13" t="n">
        <f aca="false">+I136+J136+L136+K136+M136</f>
        <v>30</v>
      </c>
      <c r="O136" s="14" t="n">
        <v>30</v>
      </c>
      <c r="P136" s="14" t="n">
        <f aca="false">ROUND(+O136-N136+Q136,2)</f>
        <v>0</v>
      </c>
      <c r="Q136" s="15"/>
      <c r="R136" s="14"/>
      <c r="S136" s="16"/>
      <c r="T136" s="14"/>
      <c r="U136" s="14"/>
    </row>
    <row r="137" customFormat="false" ht="22.35" hidden="false" customHeight="false" outlineLevel="0" collapsed="false">
      <c r="A137" s="7" t="n">
        <v>140</v>
      </c>
      <c r="B137" s="8" t="s">
        <v>219</v>
      </c>
      <c r="C137" s="9" t="n">
        <v>45055</v>
      </c>
      <c r="D137" s="9" t="s">
        <v>69</v>
      </c>
      <c r="E137" s="10" t="s">
        <v>220</v>
      </c>
      <c r="F137" s="11" t="s">
        <v>23</v>
      </c>
      <c r="G137" s="12"/>
      <c r="H137" s="9"/>
      <c r="I137" s="13" t="n">
        <v>50</v>
      </c>
      <c r="J137" s="13"/>
      <c r="K137" s="13"/>
      <c r="L137" s="13" t="n">
        <v>2.42</v>
      </c>
      <c r="M137" s="13" t="n">
        <v>10</v>
      </c>
      <c r="N137" s="13" t="n">
        <f aca="false">+I137+J137+L137+K137+M137</f>
        <v>62.42</v>
      </c>
      <c r="O137" s="14" t="n">
        <v>40</v>
      </c>
      <c r="P137" s="14" t="n">
        <f aca="false">ROUND(+O137-N137+Q137,2)</f>
        <v>-22.42</v>
      </c>
      <c r="Q137" s="15"/>
      <c r="R137" s="14"/>
      <c r="S137" s="16"/>
      <c r="T137" s="14"/>
      <c r="U137" s="14"/>
    </row>
    <row r="138" customFormat="false" ht="12.8" hidden="false" customHeight="false" outlineLevel="0" collapsed="false">
      <c r="A138" s="7" t="n">
        <v>141</v>
      </c>
      <c r="B138" s="8" t="s">
        <v>221</v>
      </c>
      <c r="C138" s="9" t="n">
        <v>45056</v>
      </c>
      <c r="D138" s="9" t="s">
        <v>38</v>
      </c>
      <c r="E138" s="10" t="s">
        <v>91</v>
      </c>
      <c r="F138" s="11" t="s">
        <v>40</v>
      </c>
      <c r="G138" s="12"/>
      <c r="H138" s="9"/>
      <c r="I138" s="13" t="n">
        <v>30</v>
      </c>
      <c r="J138" s="13"/>
      <c r="K138" s="13"/>
      <c r="L138" s="13"/>
      <c r="M138" s="13"/>
      <c r="N138" s="13" t="n">
        <f aca="false">+I138+J138+L138+K138+M138</f>
        <v>30</v>
      </c>
      <c r="O138" s="14" t="n">
        <v>30</v>
      </c>
      <c r="P138" s="14" t="n">
        <f aca="false">ROUND(+O138-N138+Q138,2)</f>
        <v>0</v>
      </c>
      <c r="Q138" s="15"/>
      <c r="R138" s="14"/>
      <c r="S138" s="16"/>
      <c r="T138" s="14"/>
      <c r="U138" s="14"/>
    </row>
    <row r="139" customFormat="false" ht="12.8" hidden="false" customHeight="false" outlineLevel="0" collapsed="false">
      <c r="A139" s="7" t="n">
        <v>142</v>
      </c>
      <c r="B139" s="8" t="s">
        <v>222</v>
      </c>
      <c r="C139" s="9" t="n">
        <v>45056</v>
      </c>
      <c r="D139" s="9" t="s">
        <v>38</v>
      </c>
      <c r="E139" s="10" t="s">
        <v>91</v>
      </c>
      <c r="F139" s="11" t="s">
        <v>40</v>
      </c>
      <c r="G139" s="12"/>
      <c r="H139" s="9"/>
      <c r="I139" s="13" t="n">
        <v>50</v>
      </c>
      <c r="J139" s="13"/>
      <c r="K139" s="13"/>
      <c r="L139" s="13"/>
      <c r="M139" s="13"/>
      <c r="N139" s="13" t="n">
        <f aca="false">+I139+J139+L139+K139+M139</f>
        <v>50</v>
      </c>
      <c r="O139" s="14" t="n">
        <v>50</v>
      </c>
      <c r="P139" s="14" t="n">
        <f aca="false">ROUND(+O139-N139+Q139,2)</f>
        <v>0</v>
      </c>
      <c r="Q139" s="15"/>
      <c r="R139" s="14"/>
      <c r="S139" s="16"/>
      <c r="T139" s="14"/>
      <c r="U139" s="14"/>
    </row>
    <row r="140" customFormat="false" ht="12.8" hidden="false" customHeight="false" outlineLevel="0" collapsed="false">
      <c r="A140" s="7" t="n">
        <v>143</v>
      </c>
      <c r="B140" s="8" t="s">
        <v>223</v>
      </c>
      <c r="C140" s="9" t="n">
        <v>45057</v>
      </c>
      <c r="D140" s="9" t="s">
        <v>38</v>
      </c>
      <c r="E140" s="10" t="s">
        <v>91</v>
      </c>
      <c r="F140" s="11" t="s">
        <v>40</v>
      </c>
      <c r="G140" s="12"/>
      <c r="H140" s="9"/>
      <c r="I140" s="13" t="n">
        <v>30</v>
      </c>
      <c r="J140" s="13"/>
      <c r="K140" s="13"/>
      <c r="L140" s="13"/>
      <c r="M140" s="13"/>
      <c r="N140" s="13" t="n">
        <f aca="false">+I140+J140+L140+K140+M140</f>
        <v>30</v>
      </c>
      <c r="O140" s="14" t="n">
        <v>30</v>
      </c>
      <c r="P140" s="14" t="n">
        <f aca="false">ROUND(+O140-N140+Q140,2)</f>
        <v>0</v>
      </c>
      <c r="Q140" s="15"/>
      <c r="R140" s="14"/>
      <c r="S140" s="16"/>
      <c r="T140" s="14"/>
      <c r="U140" s="14"/>
    </row>
    <row r="141" customFormat="false" ht="12.8" hidden="false" customHeight="false" outlineLevel="0" collapsed="false">
      <c r="A141" s="7" t="n">
        <v>144</v>
      </c>
      <c r="B141" s="8" t="s">
        <v>224</v>
      </c>
      <c r="C141" s="9" t="n">
        <v>45057</v>
      </c>
      <c r="D141" s="9" t="s">
        <v>38</v>
      </c>
      <c r="E141" s="10" t="s">
        <v>91</v>
      </c>
      <c r="F141" s="11" t="s">
        <v>40</v>
      </c>
      <c r="G141" s="12"/>
      <c r="H141" s="9"/>
      <c r="I141" s="13" t="n">
        <v>30</v>
      </c>
      <c r="J141" s="13"/>
      <c r="K141" s="13"/>
      <c r="L141" s="13"/>
      <c r="M141" s="13"/>
      <c r="N141" s="13" t="n">
        <f aca="false">+I141+J141+L141+K141+M141</f>
        <v>30</v>
      </c>
      <c r="O141" s="14"/>
      <c r="P141" s="14" t="n">
        <f aca="false">ROUND(+O141-N141+Q141,2)</f>
        <v>-30</v>
      </c>
      <c r="Q141" s="15"/>
      <c r="R141" s="14"/>
      <c r="S141" s="16"/>
      <c r="T141" s="14"/>
      <c r="U141" s="14"/>
    </row>
    <row r="142" customFormat="false" ht="12.8" hidden="false" customHeight="false" outlineLevel="0" collapsed="false">
      <c r="A142" s="7" t="n">
        <v>145</v>
      </c>
      <c r="B142" s="8" t="s">
        <v>225</v>
      </c>
      <c r="C142" s="9" t="n">
        <v>45057</v>
      </c>
      <c r="D142" s="9" t="s">
        <v>38</v>
      </c>
      <c r="E142" s="10" t="s">
        <v>91</v>
      </c>
      <c r="F142" s="11" t="s">
        <v>40</v>
      </c>
      <c r="G142" s="12"/>
      <c r="H142" s="9"/>
      <c r="I142" s="13" t="n">
        <v>40</v>
      </c>
      <c r="J142" s="13"/>
      <c r="K142" s="13"/>
      <c r="L142" s="13"/>
      <c r="M142" s="13"/>
      <c r="N142" s="13" t="n">
        <f aca="false">+I142+J142+L142+K142+M142</f>
        <v>40</v>
      </c>
      <c r="O142" s="14" t="n">
        <v>40</v>
      </c>
      <c r="P142" s="14" t="n">
        <f aca="false">ROUND(+O142-N142+Q142,2)</f>
        <v>0</v>
      </c>
      <c r="Q142" s="15"/>
      <c r="R142" s="14"/>
      <c r="S142" s="16"/>
      <c r="T142" s="14"/>
      <c r="U142" s="14"/>
    </row>
    <row r="143" customFormat="false" ht="12.8" hidden="false" customHeight="false" outlineLevel="0" collapsed="false">
      <c r="A143" s="7" t="n">
        <v>146</v>
      </c>
      <c r="B143" s="8" t="s">
        <v>92</v>
      </c>
      <c r="C143" s="9" t="n">
        <v>45057</v>
      </c>
      <c r="D143" s="9" t="s">
        <v>38</v>
      </c>
      <c r="E143" s="10" t="s">
        <v>91</v>
      </c>
      <c r="F143" s="11" t="s">
        <v>40</v>
      </c>
      <c r="G143" s="12"/>
      <c r="H143" s="9"/>
      <c r="I143" s="13" t="n">
        <v>45</v>
      </c>
      <c r="J143" s="13"/>
      <c r="K143" s="13"/>
      <c r="L143" s="13"/>
      <c r="M143" s="13"/>
      <c r="N143" s="13" t="n">
        <f aca="false">+I143+J143+L143+K143+M143</f>
        <v>45</v>
      </c>
      <c r="O143" s="14" t="n">
        <v>45</v>
      </c>
      <c r="P143" s="14" t="n">
        <f aca="false">ROUND(+O143-N143+Q143,2)</f>
        <v>0</v>
      </c>
      <c r="Q143" s="15"/>
      <c r="R143" s="14"/>
      <c r="S143" s="16"/>
      <c r="T143" s="14"/>
      <c r="U143" s="14"/>
    </row>
    <row r="144" customFormat="false" ht="12.8" hidden="false" customHeight="false" outlineLevel="0" collapsed="false">
      <c r="A144" s="7" t="n">
        <v>147</v>
      </c>
      <c r="B144" s="8" t="s">
        <v>226</v>
      </c>
      <c r="C144" s="9" t="n">
        <v>45057</v>
      </c>
      <c r="D144" s="9" t="s">
        <v>38</v>
      </c>
      <c r="E144" s="10" t="s">
        <v>91</v>
      </c>
      <c r="F144" s="11" t="s">
        <v>40</v>
      </c>
      <c r="G144" s="12"/>
      <c r="H144" s="9"/>
      <c r="I144" s="13" t="n">
        <v>30</v>
      </c>
      <c r="J144" s="13"/>
      <c r="K144" s="13"/>
      <c r="L144" s="13"/>
      <c r="M144" s="13"/>
      <c r="N144" s="13" t="n">
        <f aca="false">+I144+J144+L144+K144+M144</f>
        <v>30</v>
      </c>
      <c r="O144" s="14" t="n">
        <v>30</v>
      </c>
      <c r="P144" s="14" t="n">
        <f aca="false">ROUND(+O144-N144+Q144,2)</f>
        <v>0</v>
      </c>
      <c r="Q144" s="15"/>
      <c r="R144" s="14"/>
      <c r="S144" s="16"/>
      <c r="T144" s="14"/>
      <c r="U144" s="14"/>
    </row>
    <row r="145" customFormat="false" ht="12.8" hidden="false" customHeight="false" outlineLevel="0" collapsed="false">
      <c r="A145" s="7" t="n">
        <v>148</v>
      </c>
      <c r="B145" s="8" t="s">
        <v>227</v>
      </c>
      <c r="C145" s="9" t="n">
        <v>45057</v>
      </c>
      <c r="D145" s="9" t="s">
        <v>38</v>
      </c>
      <c r="E145" s="10" t="s">
        <v>91</v>
      </c>
      <c r="F145" s="11" t="s">
        <v>40</v>
      </c>
      <c r="G145" s="12"/>
      <c r="H145" s="9"/>
      <c r="I145" s="13" t="n">
        <v>30</v>
      </c>
      <c r="J145" s="13"/>
      <c r="K145" s="13"/>
      <c r="L145" s="13"/>
      <c r="M145" s="13"/>
      <c r="N145" s="13" t="n">
        <f aca="false">+I145+J145+L145+K145+M145</f>
        <v>30</v>
      </c>
      <c r="O145" s="14" t="n">
        <v>30</v>
      </c>
      <c r="P145" s="14" t="n">
        <f aca="false">ROUND(+O145-N145+Q145,2)</f>
        <v>0</v>
      </c>
      <c r="Q145" s="15"/>
      <c r="R145" s="14"/>
      <c r="S145" s="16"/>
      <c r="T145" s="14"/>
      <c r="U145" s="14"/>
    </row>
    <row r="146" customFormat="false" ht="12.8" hidden="false" customHeight="false" outlineLevel="0" collapsed="false">
      <c r="A146" s="7" t="n">
        <v>149</v>
      </c>
      <c r="B146" s="8" t="s">
        <v>228</v>
      </c>
      <c r="C146" s="9" t="n">
        <v>45058</v>
      </c>
      <c r="D146" s="9" t="s">
        <v>38</v>
      </c>
      <c r="E146" s="10" t="s">
        <v>91</v>
      </c>
      <c r="F146" s="11" t="s">
        <v>40</v>
      </c>
      <c r="G146" s="12"/>
      <c r="H146" s="9"/>
      <c r="I146" s="13" t="n">
        <v>30</v>
      </c>
      <c r="J146" s="13"/>
      <c r="K146" s="13"/>
      <c r="L146" s="13"/>
      <c r="M146" s="13"/>
      <c r="N146" s="13" t="n">
        <f aca="false">+I146+J146+L146+K146+M146</f>
        <v>30</v>
      </c>
      <c r="O146" s="14" t="n">
        <v>30</v>
      </c>
      <c r="P146" s="14" t="n">
        <f aca="false">ROUND(+O146-N146+Q146,2)</f>
        <v>0</v>
      </c>
      <c r="Q146" s="15"/>
      <c r="R146" s="14"/>
      <c r="S146" s="16"/>
      <c r="T146" s="14"/>
      <c r="U146" s="14"/>
    </row>
    <row r="147" customFormat="false" ht="22.35" hidden="false" customHeight="false" outlineLevel="0" collapsed="false">
      <c r="A147" s="7" t="n">
        <v>150</v>
      </c>
      <c r="B147" s="8" t="s">
        <v>45</v>
      </c>
      <c r="C147" s="9" t="n">
        <v>45058</v>
      </c>
      <c r="D147" s="9" t="s">
        <v>21</v>
      </c>
      <c r="E147" s="10" t="s">
        <v>229</v>
      </c>
      <c r="F147" s="11" t="s">
        <v>23</v>
      </c>
      <c r="G147" s="12"/>
      <c r="H147" s="9"/>
      <c r="I147" s="13" t="n">
        <v>40</v>
      </c>
      <c r="J147" s="13"/>
      <c r="K147" s="13"/>
      <c r="L147" s="13" t="n">
        <v>47.2</v>
      </c>
      <c r="M147" s="13"/>
      <c r="N147" s="13" t="n">
        <f aca="false">+I147+J147+L147+K147+M147</f>
        <v>87.2</v>
      </c>
      <c r="O147" s="14"/>
      <c r="P147" s="14" t="n">
        <f aca="false">ROUND(+O147-N147+Q147,2)</f>
        <v>-87.2</v>
      </c>
      <c r="Q147" s="15"/>
      <c r="R147" s="14" t="s">
        <v>34</v>
      </c>
      <c r="S147" s="16"/>
      <c r="T147" s="14"/>
      <c r="U147" s="14"/>
    </row>
    <row r="148" customFormat="false" ht="12.8" hidden="false" customHeight="false" outlineLevel="0" collapsed="false">
      <c r="A148" s="7" t="n">
        <v>151</v>
      </c>
      <c r="B148" s="8" t="s">
        <v>230</v>
      </c>
      <c r="C148" s="9" t="n">
        <v>45058</v>
      </c>
      <c r="D148" s="9" t="s">
        <v>38</v>
      </c>
      <c r="E148" s="10" t="s">
        <v>91</v>
      </c>
      <c r="F148" s="11" t="s">
        <v>40</v>
      </c>
      <c r="G148" s="12"/>
      <c r="H148" s="9"/>
      <c r="I148" s="13" t="n">
        <v>20</v>
      </c>
      <c r="J148" s="13"/>
      <c r="K148" s="13"/>
      <c r="L148" s="13"/>
      <c r="M148" s="13"/>
      <c r="N148" s="13" t="n">
        <f aca="false">+I148+J148+L148+K148+M148</f>
        <v>20</v>
      </c>
      <c r="O148" s="14" t="n">
        <v>20</v>
      </c>
      <c r="P148" s="14" t="n">
        <f aca="false">ROUND(+O148-N148+Q148,2)</f>
        <v>0</v>
      </c>
      <c r="Q148" s="15"/>
      <c r="R148" s="14"/>
      <c r="S148" s="16"/>
      <c r="T148" s="14"/>
      <c r="U148" s="14"/>
    </row>
    <row r="149" customFormat="false" ht="12.8" hidden="false" customHeight="false" outlineLevel="0" collapsed="false">
      <c r="A149" s="7" t="n">
        <v>152</v>
      </c>
      <c r="B149" s="8" t="s">
        <v>231</v>
      </c>
      <c r="C149" s="9" t="n">
        <v>45058</v>
      </c>
      <c r="D149" s="9" t="s">
        <v>38</v>
      </c>
      <c r="E149" s="10" t="s">
        <v>91</v>
      </c>
      <c r="F149" s="11" t="s">
        <v>40</v>
      </c>
      <c r="G149" s="12"/>
      <c r="H149" s="9"/>
      <c r="I149" s="13" t="n">
        <v>20</v>
      </c>
      <c r="J149" s="13"/>
      <c r="K149" s="13"/>
      <c r="L149" s="13"/>
      <c r="M149" s="13"/>
      <c r="N149" s="13" t="n">
        <f aca="false">+I149+J149+L149+K149+M149</f>
        <v>20</v>
      </c>
      <c r="O149" s="14" t="n">
        <v>20</v>
      </c>
      <c r="P149" s="14" t="n">
        <f aca="false">ROUND(+O149-N149+Q149,2)</f>
        <v>0</v>
      </c>
      <c r="Q149" s="15"/>
      <c r="R149" s="14"/>
      <c r="S149" s="16"/>
      <c r="T149" s="14"/>
      <c r="U149" s="14"/>
    </row>
    <row r="150" customFormat="false" ht="12.8" hidden="false" customHeight="false" outlineLevel="0" collapsed="false">
      <c r="A150" s="7" t="n">
        <v>153</v>
      </c>
      <c r="B150" s="8" t="s">
        <v>232</v>
      </c>
      <c r="C150" s="9" t="n">
        <v>45058</v>
      </c>
      <c r="D150" s="9" t="s">
        <v>38</v>
      </c>
      <c r="E150" s="10" t="s">
        <v>91</v>
      </c>
      <c r="F150" s="11" t="s">
        <v>40</v>
      </c>
      <c r="G150" s="12"/>
      <c r="H150" s="9"/>
      <c r="I150" s="13" t="n">
        <v>20</v>
      </c>
      <c r="J150" s="13"/>
      <c r="K150" s="13"/>
      <c r="L150" s="13"/>
      <c r="M150" s="13"/>
      <c r="N150" s="13" t="n">
        <f aca="false">+I150+J150+L150+K150+M150</f>
        <v>20</v>
      </c>
      <c r="O150" s="14" t="n">
        <v>20</v>
      </c>
      <c r="P150" s="14" t="n">
        <f aca="false">ROUND(+O150-N150+Q150,2)</f>
        <v>0</v>
      </c>
      <c r="Q150" s="15"/>
      <c r="R150" s="14"/>
      <c r="S150" s="16"/>
      <c r="T150" s="14"/>
      <c r="U150" s="14"/>
    </row>
    <row r="151" customFormat="false" ht="12.8" hidden="false" customHeight="false" outlineLevel="0" collapsed="false">
      <c r="A151" s="7" t="n">
        <v>154</v>
      </c>
      <c r="B151" s="8" t="s">
        <v>233</v>
      </c>
      <c r="C151" s="9" t="n">
        <v>45058</v>
      </c>
      <c r="D151" s="9" t="s">
        <v>38</v>
      </c>
      <c r="E151" s="10" t="s">
        <v>91</v>
      </c>
      <c r="F151" s="11" t="s">
        <v>40</v>
      </c>
      <c r="G151" s="12"/>
      <c r="H151" s="9"/>
      <c r="I151" s="13" t="n">
        <v>20</v>
      </c>
      <c r="J151" s="13"/>
      <c r="K151" s="13"/>
      <c r="L151" s="13"/>
      <c r="M151" s="13"/>
      <c r="N151" s="13" t="n">
        <f aca="false">+I151+J151+L151+K151+M151</f>
        <v>20</v>
      </c>
      <c r="O151" s="14" t="n">
        <v>20</v>
      </c>
      <c r="P151" s="14" t="n">
        <f aca="false">ROUND(+O151-N151+Q151,2)</f>
        <v>0</v>
      </c>
      <c r="Q151" s="15"/>
      <c r="R151" s="14"/>
      <c r="S151" s="16"/>
      <c r="T151" s="14"/>
      <c r="U151" s="14"/>
    </row>
    <row r="152" customFormat="false" ht="12.8" hidden="false" customHeight="false" outlineLevel="0" collapsed="false">
      <c r="A152" s="7" t="n">
        <v>155</v>
      </c>
      <c r="B152" s="8" t="s">
        <v>234</v>
      </c>
      <c r="C152" s="9" t="n">
        <v>45061</v>
      </c>
      <c r="D152" s="9" t="s">
        <v>38</v>
      </c>
      <c r="E152" s="10" t="s">
        <v>91</v>
      </c>
      <c r="F152" s="11" t="s">
        <v>40</v>
      </c>
      <c r="G152" s="12"/>
      <c r="H152" s="9"/>
      <c r="I152" s="13" t="n">
        <v>30</v>
      </c>
      <c r="J152" s="13"/>
      <c r="K152" s="13"/>
      <c r="L152" s="13"/>
      <c r="M152" s="13"/>
      <c r="N152" s="13" t="n">
        <f aca="false">+I152+J152+L152+K152+M152</f>
        <v>30</v>
      </c>
      <c r="O152" s="14" t="n">
        <v>30</v>
      </c>
      <c r="P152" s="14" t="n">
        <f aca="false">ROUND(+O152-N152+Q152,2)</f>
        <v>0</v>
      </c>
      <c r="Q152" s="15"/>
      <c r="R152" s="14"/>
      <c r="S152" s="16"/>
      <c r="T152" s="14"/>
      <c r="U152" s="14"/>
    </row>
    <row r="153" s="38" customFormat="true" ht="12.8" hidden="false" customHeight="false" outlineLevel="0" collapsed="false">
      <c r="A153" s="28" t="n">
        <v>156</v>
      </c>
      <c r="B153" s="29" t="s">
        <v>235</v>
      </c>
      <c r="C153" s="30" t="n">
        <v>45061</v>
      </c>
      <c r="D153" s="30" t="s">
        <v>38</v>
      </c>
      <c r="E153" s="31" t="s">
        <v>91</v>
      </c>
      <c r="F153" s="32" t="s">
        <v>40</v>
      </c>
      <c r="G153" s="33"/>
      <c r="H153" s="30"/>
      <c r="I153" s="34" t="n">
        <v>30</v>
      </c>
      <c r="J153" s="34"/>
      <c r="K153" s="34"/>
      <c r="L153" s="34"/>
      <c r="M153" s="34"/>
      <c r="N153" s="34" t="n">
        <f aca="false">+I153+J153+L153+K153+M153</f>
        <v>30</v>
      </c>
      <c r="O153" s="35" t="n">
        <v>30</v>
      </c>
      <c r="P153" s="35" t="n">
        <f aca="false">ROUND(+O153-N153+Q153,2)</f>
        <v>0</v>
      </c>
      <c r="Q153" s="36"/>
      <c r="R153" s="35"/>
      <c r="S153" s="37"/>
      <c r="T153" s="35"/>
      <c r="U153" s="35"/>
    </row>
    <row r="154" customFormat="false" ht="12.8" hidden="false" customHeight="false" outlineLevel="0" collapsed="false">
      <c r="A154" s="7" t="n">
        <v>157</v>
      </c>
      <c r="B154" s="8" t="s">
        <v>122</v>
      </c>
      <c r="C154" s="9" t="n">
        <v>45061</v>
      </c>
      <c r="D154" s="9" t="s">
        <v>21</v>
      </c>
      <c r="E154" s="10" t="s">
        <v>236</v>
      </c>
      <c r="F154" s="11" t="s">
        <v>237</v>
      </c>
      <c r="G154" s="12"/>
      <c r="H154" s="9"/>
      <c r="I154" s="13" t="n">
        <v>30</v>
      </c>
      <c r="J154" s="13"/>
      <c r="K154" s="13"/>
      <c r="L154" s="13" t="n">
        <v>23.03</v>
      </c>
      <c r="M154" s="13" t="n">
        <v>5</v>
      </c>
      <c r="N154" s="13" t="n">
        <f aca="false">+I154+J154+L154+K154+M154</f>
        <v>58.03</v>
      </c>
      <c r="O154" s="14" t="n">
        <v>30</v>
      </c>
      <c r="P154" s="14" t="n">
        <f aca="false">ROUND(+O154-N154+Q154,2)</f>
        <v>-28.03</v>
      </c>
      <c r="Q154" s="15"/>
      <c r="R154" s="14" t="s">
        <v>34</v>
      </c>
      <c r="S154" s="16"/>
      <c r="T154" s="14"/>
      <c r="U154" s="14"/>
    </row>
    <row r="155" customFormat="false" ht="22.35" hidden="false" customHeight="false" outlineLevel="0" collapsed="false">
      <c r="A155" s="7" t="n">
        <v>158</v>
      </c>
      <c r="B155" s="8" t="s">
        <v>238</v>
      </c>
      <c r="C155" s="9" t="n">
        <v>45061</v>
      </c>
      <c r="D155" s="9" t="s">
        <v>30</v>
      </c>
      <c r="E155" s="10" t="s">
        <v>239</v>
      </c>
      <c r="F155" s="11" t="s">
        <v>71</v>
      </c>
      <c r="G155" s="12"/>
      <c r="H155" s="9"/>
      <c r="I155" s="13" t="n">
        <v>7.5</v>
      </c>
      <c r="J155" s="13"/>
      <c r="K155" s="13"/>
      <c r="L155" s="13"/>
      <c r="M155" s="13" t="n">
        <v>22.5</v>
      </c>
      <c r="N155" s="13" t="n">
        <f aca="false">+I155+J155+L155+K155+M155</f>
        <v>30</v>
      </c>
      <c r="O155" s="14" t="n">
        <v>30</v>
      </c>
      <c r="P155" s="14" t="n">
        <f aca="false">ROUND(+O155-N155+Q155,2)</f>
        <v>0</v>
      </c>
      <c r="Q155" s="15"/>
      <c r="R155" s="14" t="s">
        <v>33</v>
      </c>
      <c r="S155" s="16"/>
      <c r="T155" s="14" t="s">
        <v>196</v>
      </c>
      <c r="U155" s="14"/>
    </row>
    <row r="156" customFormat="false" ht="12.8" hidden="false" customHeight="false" outlineLevel="0" collapsed="false">
      <c r="A156" s="7" t="n">
        <v>159</v>
      </c>
      <c r="B156" s="8" t="s">
        <v>240</v>
      </c>
      <c r="C156" s="9" t="n">
        <v>45061</v>
      </c>
      <c r="D156" s="9" t="s">
        <v>21</v>
      </c>
      <c r="E156" s="10" t="s">
        <v>241</v>
      </c>
      <c r="F156" s="11" t="s">
        <v>23</v>
      </c>
      <c r="G156" s="12"/>
      <c r="H156" s="9"/>
      <c r="I156" s="13" t="n">
        <v>30</v>
      </c>
      <c r="J156" s="13"/>
      <c r="K156" s="13"/>
      <c r="L156" s="13" t="n">
        <v>23.03</v>
      </c>
      <c r="M156" s="13" t="n">
        <v>10</v>
      </c>
      <c r="N156" s="13" t="n">
        <f aca="false">+I156+J156+L156+K156+M156</f>
        <v>63.03</v>
      </c>
      <c r="O156" s="14" t="n">
        <v>30</v>
      </c>
      <c r="P156" s="14" t="n">
        <f aca="false">ROUND(+O156-N156+Q156,2)</f>
        <v>-33.03</v>
      </c>
      <c r="Q156" s="15"/>
      <c r="R156" s="14" t="s">
        <v>34</v>
      </c>
      <c r="S156" s="16"/>
      <c r="T156" s="14"/>
      <c r="U156" s="14"/>
    </row>
    <row r="157" customFormat="false" ht="12.8" hidden="false" customHeight="false" outlineLevel="0" collapsed="false">
      <c r="A157" s="7" t="n">
        <v>160</v>
      </c>
      <c r="B157" s="8" t="s">
        <v>242</v>
      </c>
      <c r="C157" s="9" t="n">
        <v>45061</v>
      </c>
      <c r="D157" s="9" t="s">
        <v>38</v>
      </c>
      <c r="E157" s="10" t="s">
        <v>91</v>
      </c>
      <c r="F157" s="11" t="s">
        <v>40</v>
      </c>
      <c r="G157" s="12"/>
      <c r="H157" s="9"/>
      <c r="I157" s="13" t="n">
        <v>30</v>
      </c>
      <c r="J157" s="13"/>
      <c r="K157" s="13"/>
      <c r="L157" s="13"/>
      <c r="M157" s="13"/>
      <c r="N157" s="13" t="n">
        <f aca="false">+I157+J157+L157+K157+M157</f>
        <v>30</v>
      </c>
      <c r="O157" s="14" t="n">
        <v>30</v>
      </c>
      <c r="P157" s="14" t="n">
        <f aca="false">ROUND(+O157-N157+Q157,2)</f>
        <v>0</v>
      </c>
      <c r="Q157" s="15"/>
      <c r="R157" s="14"/>
      <c r="S157" s="16"/>
      <c r="T157" s="14"/>
      <c r="U157" s="14"/>
    </row>
    <row r="158" customFormat="false" ht="12.8" hidden="false" customHeight="false" outlineLevel="0" collapsed="false">
      <c r="A158" s="7" t="n">
        <v>161</v>
      </c>
      <c r="B158" s="8" t="s">
        <v>243</v>
      </c>
      <c r="C158" s="9" t="n">
        <v>45061</v>
      </c>
      <c r="D158" s="9" t="s">
        <v>38</v>
      </c>
      <c r="E158" s="10" t="s">
        <v>91</v>
      </c>
      <c r="F158" s="11" t="s">
        <v>40</v>
      </c>
      <c r="G158" s="12"/>
      <c r="H158" s="9"/>
      <c r="I158" s="13" t="n">
        <v>30</v>
      </c>
      <c r="J158" s="13"/>
      <c r="K158" s="13"/>
      <c r="L158" s="13"/>
      <c r="M158" s="13"/>
      <c r="N158" s="13" t="n">
        <f aca="false">+I158+J158+L158+K158+M158</f>
        <v>30</v>
      </c>
      <c r="O158" s="14" t="n">
        <v>30</v>
      </c>
      <c r="P158" s="14" t="n">
        <f aca="false">ROUND(+O158-N158+Q158,2)</f>
        <v>0</v>
      </c>
      <c r="Q158" s="15"/>
      <c r="R158" s="14"/>
      <c r="S158" s="16"/>
      <c r="T158" s="14"/>
      <c r="U158" s="14"/>
    </row>
    <row r="159" customFormat="false" ht="12.8" hidden="false" customHeight="false" outlineLevel="0" collapsed="false">
      <c r="A159" s="7" t="n">
        <v>162</v>
      </c>
      <c r="B159" s="8" t="s">
        <v>244</v>
      </c>
      <c r="C159" s="9" t="n">
        <v>45061</v>
      </c>
      <c r="D159" s="9" t="s">
        <v>38</v>
      </c>
      <c r="E159" s="10" t="s">
        <v>91</v>
      </c>
      <c r="F159" s="11" t="s">
        <v>40</v>
      </c>
      <c r="G159" s="12"/>
      <c r="H159" s="9"/>
      <c r="I159" s="13" t="n">
        <v>30</v>
      </c>
      <c r="J159" s="13"/>
      <c r="K159" s="13"/>
      <c r="L159" s="13"/>
      <c r="M159" s="13"/>
      <c r="N159" s="13" t="n">
        <f aca="false">+I159+J159+L159+K159+M159</f>
        <v>30</v>
      </c>
      <c r="O159" s="14" t="n">
        <v>30</v>
      </c>
      <c r="P159" s="14" t="n">
        <f aca="false">ROUND(+O159-N159+Q159,2)</f>
        <v>0</v>
      </c>
      <c r="Q159" s="15"/>
      <c r="R159" s="14"/>
      <c r="S159" s="16"/>
      <c r="T159" s="14"/>
      <c r="U159" s="14"/>
    </row>
    <row r="160" customFormat="false" ht="12.8" hidden="false" customHeight="false" outlineLevel="0" collapsed="false">
      <c r="A160" s="7" t="n">
        <v>163</v>
      </c>
      <c r="B160" s="8" t="s">
        <v>245</v>
      </c>
      <c r="C160" s="9" t="n">
        <v>45061</v>
      </c>
      <c r="D160" s="9" t="s">
        <v>38</v>
      </c>
      <c r="E160" s="10" t="s">
        <v>91</v>
      </c>
      <c r="F160" s="11" t="s">
        <v>40</v>
      </c>
      <c r="G160" s="12"/>
      <c r="H160" s="9"/>
      <c r="I160" s="13" t="n">
        <v>30</v>
      </c>
      <c r="J160" s="13"/>
      <c r="K160" s="13"/>
      <c r="L160" s="13"/>
      <c r="M160" s="13"/>
      <c r="N160" s="13" t="n">
        <f aca="false">+I160+J160+L160+K160+M160</f>
        <v>30</v>
      </c>
      <c r="O160" s="14"/>
      <c r="P160" s="14" t="n">
        <f aca="false">ROUND(+O160-N160+Q160,2)</f>
        <v>-30</v>
      </c>
      <c r="Q160" s="15"/>
      <c r="R160" s="14"/>
      <c r="S160" s="16"/>
      <c r="T160" s="14"/>
      <c r="U160" s="14"/>
    </row>
    <row r="161" customFormat="false" ht="12.8" hidden="false" customHeight="false" outlineLevel="0" collapsed="false">
      <c r="A161" s="7" t="n">
        <v>164</v>
      </c>
      <c r="B161" s="8" t="s">
        <v>246</v>
      </c>
      <c r="C161" s="9" t="n">
        <v>45061</v>
      </c>
      <c r="D161" s="9" t="s">
        <v>38</v>
      </c>
      <c r="E161" s="10" t="s">
        <v>91</v>
      </c>
      <c r="F161" s="11" t="s">
        <v>40</v>
      </c>
      <c r="G161" s="12"/>
      <c r="H161" s="9"/>
      <c r="I161" s="13" t="n">
        <v>30</v>
      </c>
      <c r="J161" s="13"/>
      <c r="K161" s="13"/>
      <c r="L161" s="13"/>
      <c r="M161" s="13"/>
      <c r="N161" s="13" t="n">
        <f aca="false">+I161+J161+L161+K161+M161</f>
        <v>30</v>
      </c>
      <c r="O161" s="14"/>
      <c r="P161" s="14" t="n">
        <f aca="false">ROUND(+O161-N161+Q161,2)</f>
        <v>-30</v>
      </c>
      <c r="Q161" s="15"/>
      <c r="R161" s="14"/>
      <c r="S161" s="16"/>
      <c r="T161" s="14"/>
      <c r="U161" s="14"/>
    </row>
    <row r="162" customFormat="false" ht="12.8" hidden="false" customHeight="false" outlineLevel="0" collapsed="false">
      <c r="A162" s="7" t="n">
        <v>165</v>
      </c>
      <c r="B162" s="8" t="s">
        <v>247</v>
      </c>
      <c r="C162" s="9" t="n">
        <v>45062</v>
      </c>
      <c r="D162" s="9" t="s">
        <v>38</v>
      </c>
      <c r="E162" s="10" t="s">
        <v>91</v>
      </c>
      <c r="F162" s="11" t="s">
        <v>40</v>
      </c>
      <c r="G162" s="12"/>
      <c r="H162" s="9"/>
      <c r="I162" s="13" t="n">
        <v>20</v>
      </c>
      <c r="J162" s="13"/>
      <c r="K162" s="13"/>
      <c r="L162" s="13"/>
      <c r="M162" s="13"/>
      <c r="N162" s="13" t="n">
        <f aca="false">+I162+J162+L162+K162+M162</f>
        <v>20</v>
      </c>
      <c r="O162" s="14"/>
      <c r="P162" s="14" t="n">
        <f aca="false">ROUND(+O162-N162+Q162,2)</f>
        <v>-20</v>
      </c>
      <c r="Q162" s="15"/>
      <c r="R162" s="14"/>
      <c r="S162" s="16"/>
      <c r="T162" s="14"/>
      <c r="U162" s="14"/>
    </row>
    <row r="163" customFormat="false" ht="12.8" hidden="false" customHeight="false" outlineLevel="0" collapsed="false">
      <c r="A163" s="7" t="n">
        <v>166</v>
      </c>
      <c r="B163" s="8" t="s">
        <v>248</v>
      </c>
      <c r="C163" s="9" t="n">
        <v>45063</v>
      </c>
      <c r="D163" s="9" t="s">
        <v>38</v>
      </c>
      <c r="E163" s="10" t="s">
        <v>91</v>
      </c>
      <c r="F163" s="11" t="s">
        <v>40</v>
      </c>
      <c r="G163" s="12"/>
      <c r="H163" s="9"/>
      <c r="I163" s="13" t="n">
        <v>30</v>
      </c>
      <c r="J163" s="13"/>
      <c r="K163" s="13"/>
      <c r="L163" s="13"/>
      <c r="M163" s="13"/>
      <c r="N163" s="13" t="n">
        <f aca="false">+I163+J163+L163+K163+M163</f>
        <v>30</v>
      </c>
      <c r="O163" s="14" t="n">
        <v>30</v>
      </c>
      <c r="P163" s="14" t="n">
        <f aca="false">ROUND(+O163-N163+Q163,2)</f>
        <v>0</v>
      </c>
      <c r="Q163" s="15"/>
      <c r="R163" s="14"/>
      <c r="S163" s="16"/>
      <c r="T163" s="14"/>
      <c r="U163" s="14"/>
    </row>
    <row r="164" customFormat="false" ht="12.8" hidden="false" customHeight="false" outlineLevel="0" collapsed="false">
      <c r="A164" s="7" t="n">
        <v>167</v>
      </c>
      <c r="B164" s="8" t="s">
        <v>249</v>
      </c>
      <c r="C164" s="9" t="n">
        <v>45063</v>
      </c>
      <c r="D164" s="9" t="s">
        <v>21</v>
      </c>
      <c r="E164" s="10" t="s">
        <v>140</v>
      </c>
      <c r="F164" s="11" t="s">
        <v>23</v>
      </c>
      <c r="G164" s="12"/>
      <c r="H164" s="9"/>
      <c r="I164" s="13" t="n">
        <v>40</v>
      </c>
      <c r="J164" s="13"/>
      <c r="K164" s="13"/>
      <c r="L164" s="13" t="n">
        <v>37.07</v>
      </c>
      <c r="M164" s="13" t="n">
        <v>10</v>
      </c>
      <c r="N164" s="13" t="n">
        <f aca="false">+I164+J164+L164+K164+M164</f>
        <v>87.07</v>
      </c>
      <c r="O164" s="14" t="n">
        <v>87</v>
      </c>
      <c r="P164" s="14" t="n">
        <f aca="false">ROUND(+O164-N164+Q164,2)</f>
        <v>-0.07</v>
      </c>
      <c r="Q164" s="15"/>
      <c r="R164" s="14" t="s">
        <v>34</v>
      </c>
      <c r="S164" s="16"/>
      <c r="T164" s="14"/>
      <c r="U164" s="14"/>
    </row>
    <row r="165" customFormat="false" ht="12.8" hidden="false" customHeight="false" outlineLevel="0" collapsed="false">
      <c r="A165" s="7" t="n">
        <v>168</v>
      </c>
      <c r="B165" s="8" t="s">
        <v>250</v>
      </c>
      <c r="C165" s="9" t="n">
        <v>45063</v>
      </c>
      <c r="D165" s="9" t="s">
        <v>21</v>
      </c>
      <c r="E165" s="10" t="s">
        <v>140</v>
      </c>
      <c r="F165" s="11" t="s">
        <v>23</v>
      </c>
      <c r="G165" s="12"/>
      <c r="H165" s="9"/>
      <c r="I165" s="13" t="n">
        <v>40</v>
      </c>
      <c r="J165" s="13"/>
      <c r="K165" s="13"/>
      <c r="L165" s="13" t="n">
        <v>37.07</v>
      </c>
      <c r="M165" s="13" t="n">
        <v>10</v>
      </c>
      <c r="N165" s="13" t="n">
        <f aca="false">+I165+J165+L165+K165+M165</f>
        <v>87.07</v>
      </c>
      <c r="O165" s="14" t="n">
        <v>87</v>
      </c>
      <c r="P165" s="14" t="n">
        <f aca="false">ROUND(+O165-N165+Q165,2)</f>
        <v>-0.07</v>
      </c>
      <c r="Q165" s="15"/>
      <c r="R165" s="14" t="s">
        <v>34</v>
      </c>
      <c r="S165" s="16"/>
      <c r="T165" s="14"/>
      <c r="U165" s="14"/>
    </row>
    <row r="166" customFormat="false" ht="12.8" hidden="false" customHeight="false" outlineLevel="0" collapsed="false">
      <c r="A166" s="7" t="n">
        <v>169</v>
      </c>
      <c r="B166" s="8" t="s">
        <v>251</v>
      </c>
      <c r="C166" s="9" t="n">
        <v>45063</v>
      </c>
      <c r="D166" s="9" t="s">
        <v>21</v>
      </c>
      <c r="E166" s="10" t="s">
        <v>140</v>
      </c>
      <c r="F166" s="11" t="s">
        <v>23</v>
      </c>
      <c r="G166" s="12"/>
      <c r="H166" s="9"/>
      <c r="I166" s="13" t="n">
        <v>40</v>
      </c>
      <c r="J166" s="13"/>
      <c r="K166" s="13"/>
      <c r="L166" s="13" t="n">
        <v>37.07</v>
      </c>
      <c r="M166" s="13" t="n">
        <v>10</v>
      </c>
      <c r="N166" s="13" t="n">
        <f aca="false">+I166+J166+L166+K166+M166</f>
        <v>87.07</v>
      </c>
      <c r="O166" s="14" t="n">
        <v>87</v>
      </c>
      <c r="P166" s="14" t="n">
        <f aca="false">ROUND(+O166-N166+Q166,2)</f>
        <v>-0.07</v>
      </c>
      <c r="Q166" s="15"/>
      <c r="R166" s="14" t="s">
        <v>34</v>
      </c>
      <c r="S166" s="16"/>
      <c r="T166" s="14"/>
      <c r="U166" s="14"/>
    </row>
    <row r="167" customFormat="false" ht="12.8" hidden="false" customHeight="false" outlineLevel="0" collapsed="false">
      <c r="A167" s="7" t="n">
        <v>170</v>
      </c>
      <c r="B167" s="8" t="s">
        <v>252</v>
      </c>
      <c r="C167" s="9" t="n">
        <v>45063</v>
      </c>
      <c r="D167" s="9" t="s">
        <v>21</v>
      </c>
      <c r="E167" s="10" t="s">
        <v>140</v>
      </c>
      <c r="F167" s="11" t="s">
        <v>23</v>
      </c>
      <c r="G167" s="12"/>
      <c r="H167" s="9"/>
      <c r="I167" s="13" t="n">
        <v>40</v>
      </c>
      <c r="J167" s="13"/>
      <c r="K167" s="13"/>
      <c r="L167" s="13" t="n">
        <v>37.07</v>
      </c>
      <c r="M167" s="13" t="n">
        <v>10</v>
      </c>
      <c r="N167" s="13" t="n">
        <f aca="false">+I167+J167+L167+K167+M167</f>
        <v>87.07</v>
      </c>
      <c r="O167" s="14" t="n">
        <v>87</v>
      </c>
      <c r="P167" s="14" t="n">
        <f aca="false">ROUND(+O167-N167+Q167,2)</f>
        <v>-0.07</v>
      </c>
      <c r="Q167" s="15"/>
      <c r="R167" s="14" t="s">
        <v>34</v>
      </c>
      <c r="S167" s="16"/>
      <c r="T167" s="14"/>
      <c r="U167" s="14"/>
    </row>
    <row r="168" customFormat="false" ht="12.8" hidden="false" customHeight="false" outlineLevel="0" collapsed="false">
      <c r="A168" s="7" t="n">
        <v>171</v>
      </c>
      <c r="B168" s="8" t="s">
        <v>253</v>
      </c>
      <c r="C168" s="9" t="n">
        <v>45064</v>
      </c>
      <c r="D168" s="9" t="s">
        <v>38</v>
      </c>
      <c r="E168" s="10" t="s">
        <v>91</v>
      </c>
      <c r="F168" s="11" t="s">
        <v>40</v>
      </c>
      <c r="G168" s="12"/>
      <c r="H168" s="9"/>
      <c r="I168" s="13" t="n">
        <v>30</v>
      </c>
      <c r="J168" s="13"/>
      <c r="K168" s="13"/>
      <c r="L168" s="13"/>
      <c r="M168" s="13"/>
      <c r="N168" s="13" t="n">
        <f aca="false">+I168+J168+L168+K168+M168</f>
        <v>30</v>
      </c>
      <c r="O168" s="14" t="n">
        <v>30</v>
      </c>
      <c r="P168" s="14" t="n">
        <f aca="false">ROUND(+O168-N168+Q168,2)</f>
        <v>0</v>
      </c>
      <c r="Q168" s="15"/>
      <c r="R168" s="14"/>
      <c r="S168" s="16"/>
      <c r="T168" s="14"/>
      <c r="U168" s="14"/>
    </row>
    <row r="169" customFormat="false" ht="12.8" hidden="false" customHeight="false" outlineLevel="0" collapsed="false">
      <c r="A169" s="7" t="n">
        <v>172</v>
      </c>
      <c r="B169" s="8" t="s">
        <v>96</v>
      </c>
      <c r="C169" s="9" t="n">
        <v>45064</v>
      </c>
      <c r="D169" s="9" t="s">
        <v>21</v>
      </c>
      <c r="E169" s="10" t="s">
        <v>254</v>
      </c>
      <c r="F169" s="11" t="s">
        <v>23</v>
      </c>
      <c r="G169" s="12"/>
      <c r="H169" s="9"/>
      <c r="I169" s="13" t="n">
        <v>100</v>
      </c>
      <c r="J169" s="13" t="n">
        <v>21</v>
      </c>
      <c r="K169" s="13"/>
      <c r="L169" s="13" t="n">
        <v>504.41</v>
      </c>
      <c r="M169" s="13"/>
      <c r="N169" s="13" t="n">
        <f aca="false">+I169+J169+L169+K169+M169</f>
        <v>625.41</v>
      </c>
      <c r="O169" s="14" t="n">
        <v>625.41</v>
      </c>
      <c r="P169" s="14" t="n">
        <f aca="false">ROUND(+O169-N169+Q169,2)</f>
        <v>0</v>
      </c>
      <c r="Q169" s="15"/>
      <c r="R169" s="14" t="s">
        <v>34</v>
      </c>
      <c r="S169" s="16"/>
      <c r="T169" s="14"/>
      <c r="U169" s="14"/>
    </row>
    <row r="170" customFormat="false" ht="12.8" hidden="false" customHeight="false" outlineLevel="0" collapsed="false">
      <c r="A170" s="7" t="n">
        <v>173</v>
      </c>
      <c r="B170" s="8" t="s">
        <v>255</v>
      </c>
      <c r="C170" s="9" t="n">
        <v>45064</v>
      </c>
      <c r="D170" s="9" t="s">
        <v>38</v>
      </c>
      <c r="E170" s="10" t="s">
        <v>91</v>
      </c>
      <c r="F170" s="11" t="s">
        <v>40</v>
      </c>
      <c r="G170" s="12"/>
      <c r="H170" s="9"/>
      <c r="I170" s="13" t="n">
        <v>30</v>
      </c>
      <c r="J170" s="13"/>
      <c r="K170" s="13"/>
      <c r="L170" s="13"/>
      <c r="M170" s="13"/>
      <c r="N170" s="13" t="n">
        <f aca="false">+I170+J170+L170+K170+M170</f>
        <v>30</v>
      </c>
      <c r="O170" s="14"/>
      <c r="P170" s="14" t="n">
        <f aca="false">ROUND(+O170-N170+Q170,2)</f>
        <v>-30</v>
      </c>
      <c r="Q170" s="15"/>
      <c r="R170" s="14"/>
      <c r="S170" s="16"/>
      <c r="T170" s="14"/>
      <c r="U170" s="14"/>
    </row>
    <row r="171" customFormat="false" ht="12.8" hidden="false" customHeight="false" outlineLevel="0" collapsed="false">
      <c r="A171" s="7" t="n">
        <v>174</v>
      </c>
      <c r="B171" s="8" t="s">
        <v>256</v>
      </c>
      <c r="C171" s="9" t="n">
        <v>45065</v>
      </c>
      <c r="D171" s="9" t="s">
        <v>38</v>
      </c>
      <c r="E171" s="10" t="s">
        <v>91</v>
      </c>
      <c r="F171" s="11" t="s">
        <v>40</v>
      </c>
      <c r="G171" s="12"/>
      <c r="H171" s="9"/>
      <c r="I171" s="13" t="n">
        <v>30</v>
      </c>
      <c r="J171" s="13"/>
      <c r="K171" s="13"/>
      <c r="L171" s="13"/>
      <c r="M171" s="13"/>
      <c r="N171" s="13" t="n">
        <f aca="false">+I171+J171+L171+K171+M171</f>
        <v>30</v>
      </c>
      <c r="O171" s="14" t="n">
        <v>30</v>
      </c>
      <c r="P171" s="14" t="n">
        <f aca="false">ROUND(+O171-N171+Q171,2)</f>
        <v>0</v>
      </c>
      <c r="Q171" s="15"/>
      <c r="R171" s="14"/>
      <c r="S171" s="16"/>
      <c r="T171" s="14"/>
      <c r="U171" s="14"/>
    </row>
    <row r="172" customFormat="false" ht="12.8" hidden="false" customHeight="false" outlineLevel="0" collapsed="false">
      <c r="A172" s="7" t="n">
        <v>175</v>
      </c>
      <c r="B172" s="8" t="s">
        <v>257</v>
      </c>
      <c r="C172" s="9" t="n">
        <v>45068</v>
      </c>
      <c r="D172" s="9" t="s">
        <v>38</v>
      </c>
      <c r="E172" s="10" t="s">
        <v>91</v>
      </c>
      <c r="F172" s="11" t="s">
        <v>40</v>
      </c>
      <c r="G172" s="12"/>
      <c r="H172" s="9"/>
      <c r="I172" s="13" t="n">
        <v>20</v>
      </c>
      <c r="J172" s="13"/>
      <c r="K172" s="13"/>
      <c r="L172" s="13"/>
      <c r="M172" s="13"/>
      <c r="N172" s="13" t="n">
        <f aca="false">+I172+J172+L172+K172+M172</f>
        <v>20</v>
      </c>
      <c r="O172" s="14"/>
      <c r="P172" s="14" t="n">
        <f aca="false">ROUND(+O172-N172+Q172,2)</f>
        <v>-20</v>
      </c>
      <c r="Q172" s="15"/>
      <c r="R172" s="14"/>
      <c r="S172" s="16"/>
      <c r="T172" s="14"/>
      <c r="U172" s="14"/>
    </row>
    <row r="173" customFormat="false" ht="12.8" hidden="false" customHeight="false" outlineLevel="0" collapsed="false">
      <c r="A173" s="7" t="n">
        <v>176</v>
      </c>
      <c r="B173" s="8" t="s">
        <v>258</v>
      </c>
      <c r="C173" s="9" t="n">
        <v>45069</v>
      </c>
      <c r="D173" s="9" t="s">
        <v>21</v>
      </c>
      <c r="E173" s="10" t="s">
        <v>259</v>
      </c>
      <c r="F173" s="11" t="s">
        <v>23</v>
      </c>
      <c r="G173" s="12"/>
      <c r="H173" s="9"/>
      <c r="I173" s="13" t="n">
        <v>45</v>
      </c>
      <c r="J173" s="13"/>
      <c r="K173" s="13"/>
      <c r="L173" s="13" t="n">
        <v>70.86</v>
      </c>
      <c r="M173" s="13" t="n">
        <v>15</v>
      </c>
      <c r="N173" s="13" t="n">
        <f aca="false">+I173+J173+L173+K173+M173</f>
        <v>130.86</v>
      </c>
      <c r="O173" s="14" t="n">
        <v>130.86</v>
      </c>
      <c r="P173" s="14" t="n">
        <f aca="false">ROUND(+O173-N173+Q173,2)</f>
        <v>0</v>
      </c>
      <c r="Q173" s="15"/>
      <c r="R173" s="14" t="s">
        <v>34</v>
      </c>
      <c r="S173" s="16"/>
      <c r="T173" s="14"/>
      <c r="U173" s="14"/>
    </row>
    <row r="174" customFormat="false" ht="22.35" hidden="false" customHeight="false" outlineLevel="0" collapsed="false">
      <c r="A174" s="7" t="n">
        <v>177</v>
      </c>
      <c r="B174" s="8" t="s">
        <v>260</v>
      </c>
      <c r="C174" s="9" t="n">
        <v>45069</v>
      </c>
      <c r="D174" s="9" t="s">
        <v>21</v>
      </c>
      <c r="E174" s="10" t="s">
        <v>261</v>
      </c>
      <c r="F174" s="11" t="s">
        <v>23</v>
      </c>
      <c r="G174" s="12"/>
      <c r="H174" s="9"/>
      <c r="I174" s="13" t="n">
        <v>15</v>
      </c>
      <c r="J174" s="13"/>
      <c r="K174" s="13"/>
      <c r="L174" s="13" t="n">
        <v>25</v>
      </c>
      <c r="M174" s="13"/>
      <c r="N174" s="13" t="n">
        <f aca="false">+I174+J174+L174+K174+M174</f>
        <v>40</v>
      </c>
      <c r="O174" s="14" t="n">
        <v>40</v>
      </c>
      <c r="P174" s="14" t="n">
        <f aca="false">ROUND(+O174-N174+Q174,2)</f>
        <v>0</v>
      </c>
      <c r="Q174" s="15"/>
      <c r="R174" s="14" t="s">
        <v>34</v>
      </c>
      <c r="S174" s="16"/>
      <c r="T174" s="14"/>
      <c r="U174" s="14"/>
    </row>
    <row r="175" customFormat="false" ht="12.8" hidden="false" customHeight="false" outlineLevel="0" collapsed="false">
      <c r="A175" s="7" t="n">
        <v>178</v>
      </c>
      <c r="B175" s="8" t="s">
        <v>262</v>
      </c>
      <c r="C175" s="9" t="n">
        <v>45069</v>
      </c>
      <c r="D175" s="9" t="s">
        <v>21</v>
      </c>
      <c r="E175" s="10" t="s">
        <v>263</v>
      </c>
      <c r="F175" s="11" t="s">
        <v>23</v>
      </c>
      <c r="G175" s="12"/>
      <c r="H175" s="9"/>
      <c r="I175" s="13" t="n">
        <v>40</v>
      </c>
      <c r="J175" s="13"/>
      <c r="K175" s="13"/>
      <c r="L175" s="13" t="n">
        <v>37.07</v>
      </c>
      <c r="M175" s="13" t="n">
        <v>10</v>
      </c>
      <c r="N175" s="13" t="n">
        <f aca="false">+I175+J175+L175+K175+M175</f>
        <v>87.07</v>
      </c>
      <c r="O175" s="14" t="n">
        <v>87</v>
      </c>
      <c r="P175" s="14" t="n">
        <f aca="false">ROUND(+O175-N175+Q175,2)</f>
        <v>-0.07</v>
      </c>
      <c r="Q175" s="15"/>
      <c r="R175" s="14" t="s">
        <v>34</v>
      </c>
      <c r="S175" s="16"/>
      <c r="T175" s="14"/>
      <c r="U175" s="14"/>
    </row>
    <row r="176" customFormat="false" ht="12.8" hidden="false" customHeight="false" outlineLevel="0" collapsed="false">
      <c r="A176" s="7" t="n">
        <v>179</v>
      </c>
      <c r="B176" s="8" t="s">
        <v>264</v>
      </c>
      <c r="C176" s="9" t="n">
        <v>45069</v>
      </c>
      <c r="D176" s="9" t="s">
        <v>38</v>
      </c>
      <c r="E176" s="10" t="s">
        <v>91</v>
      </c>
      <c r="F176" s="11" t="s">
        <v>40</v>
      </c>
      <c r="G176" s="12"/>
      <c r="H176" s="9"/>
      <c r="I176" s="13" t="n">
        <v>20</v>
      </c>
      <c r="J176" s="13"/>
      <c r="K176" s="13"/>
      <c r="L176" s="13"/>
      <c r="M176" s="13"/>
      <c r="N176" s="13" t="n">
        <f aca="false">+I176+J176+L176+K176+M176</f>
        <v>20</v>
      </c>
      <c r="O176" s="14" t="n">
        <v>20</v>
      </c>
      <c r="P176" s="14" t="n">
        <f aca="false">ROUND(+O176-N176+Q176,2)</f>
        <v>0</v>
      </c>
      <c r="Q176" s="15"/>
      <c r="R176" s="14"/>
      <c r="S176" s="16"/>
      <c r="T176" s="14"/>
      <c r="U176" s="14"/>
    </row>
    <row r="177" customFormat="false" ht="12.8" hidden="false" customHeight="false" outlineLevel="0" collapsed="false">
      <c r="A177" s="7" t="n">
        <v>180</v>
      </c>
      <c r="B177" s="8" t="s">
        <v>265</v>
      </c>
      <c r="C177" s="9" t="n">
        <v>45069</v>
      </c>
      <c r="D177" s="9" t="s">
        <v>38</v>
      </c>
      <c r="E177" s="10" t="s">
        <v>91</v>
      </c>
      <c r="F177" s="11" t="s">
        <v>40</v>
      </c>
      <c r="G177" s="12"/>
      <c r="H177" s="9"/>
      <c r="I177" s="13" t="n">
        <v>20</v>
      </c>
      <c r="J177" s="13"/>
      <c r="K177" s="13"/>
      <c r="L177" s="13"/>
      <c r="M177" s="13"/>
      <c r="N177" s="13" t="n">
        <f aca="false">+I177+J177+L177+K177+M177</f>
        <v>20</v>
      </c>
      <c r="O177" s="14" t="n">
        <v>20</v>
      </c>
      <c r="P177" s="14" t="n">
        <f aca="false">ROUND(+O177-N177+Q177,2)</f>
        <v>0</v>
      </c>
      <c r="Q177" s="15"/>
      <c r="R177" s="14"/>
      <c r="S177" s="16"/>
      <c r="T177" s="14"/>
      <c r="U177" s="14"/>
    </row>
    <row r="178" customFormat="false" ht="12.8" hidden="false" customHeight="false" outlineLevel="0" collapsed="false">
      <c r="A178" s="7" t="n">
        <v>181</v>
      </c>
      <c r="B178" s="8" t="s">
        <v>266</v>
      </c>
      <c r="C178" s="9" t="n">
        <v>45069</v>
      </c>
      <c r="D178" s="9" t="s">
        <v>38</v>
      </c>
      <c r="E178" s="10" t="s">
        <v>91</v>
      </c>
      <c r="F178" s="11" t="s">
        <v>40</v>
      </c>
      <c r="G178" s="12"/>
      <c r="H178" s="9"/>
      <c r="I178" s="13" t="n">
        <v>20</v>
      </c>
      <c r="J178" s="13"/>
      <c r="K178" s="13"/>
      <c r="L178" s="13"/>
      <c r="M178" s="13"/>
      <c r="N178" s="13" t="n">
        <f aca="false">+I178+J178+L178+K178+M178</f>
        <v>20</v>
      </c>
      <c r="O178" s="14" t="n">
        <v>20</v>
      </c>
      <c r="P178" s="14" t="n">
        <f aca="false">ROUND(+O178-N178+Q178,2)</f>
        <v>0</v>
      </c>
      <c r="Q178" s="15"/>
      <c r="R178" s="14"/>
      <c r="S178" s="16"/>
      <c r="T178" s="14"/>
      <c r="U178" s="14"/>
    </row>
    <row r="179" customFormat="false" ht="12.8" hidden="false" customHeight="false" outlineLevel="0" collapsed="false">
      <c r="A179" s="7" t="n">
        <v>182</v>
      </c>
      <c r="B179" s="8" t="s">
        <v>267</v>
      </c>
      <c r="C179" s="9" t="n">
        <v>45072</v>
      </c>
      <c r="D179" s="9" t="s">
        <v>38</v>
      </c>
      <c r="E179" s="10" t="s">
        <v>91</v>
      </c>
      <c r="F179" s="11" t="s">
        <v>40</v>
      </c>
      <c r="G179" s="12"/>
      <c r="H179" s="9"/>
      <c r="I179" s="13" t="n">
        <v>30</v>
      </c>
      <c r="J179" s="13"/>
      <c r="K179" s="13"/>
      <c r="L179" s="13"/>
      <c r="M179" s="13"/>
      <c r="N179" s="13" t="n">
        <f aca="false">+I179+J179+L179+K179+M179</f>
        <v>30</v>
      </c>
      <c r="O179" s="14"/>
      <c r="P179" s="14" t="n">
        <f aca="false">ROUND(+O179-N179+Q179,2)</f>
        <v>-30</v>
      </c>
      <c r="Q179" s="15"/>
      <c r="R179" s="14"/>
      <c r="S179" s="16"/>
      <c r="T179" s="14"/>
      <c r="U179" s="14"/>
    </row>
    <row r="180" customFormat="false" ht="12.8" hidden="false" customHeight="false" outlineLevel="0" collapsed="false">
      <c r="A180" s="7" t="n">
        <v>183</v>
      </c>
      <c r="B180" s="8" t="s">
        <v>268</v>
      </c>
      <c r="C180" s="9" t="n">
        <v>45072</v>
      </c>
      <c r="D180" s="9" t="s">
        <v>38</v>
      </c>
      <c r="E180" s="10" t="s">
        <v>91</v>
      </c>
      <c r="F180" s="11" t="s">
        <v>40</v>
      </c>
      <c r="G180" s="12"/>
      <c r="H180" s="9"/>
      <c r="I180" s="13" t="n">
        <v>30</v>
      </c>
      <c r="J180" s="13"/>
      <c r="K180" s="13"/>
      <c r="L180" s="13"/>
      <c r="M180" s="13"/>
      <c r="N180" s="13" t="n">
        <f aca="false">+I180+J180+L180+K180+M180</f>
        <v>30</v>
      </c>
      <c r="O180" s="14"/>
      <c r="P180" s="14" t="n">
        <f aca="false">ROUND(+O180-N180+Q180,2)</f>
        <v>-30</v>
      </c>
      <c r="Q180" s="15"/>
      <c r="R180" s="14"/>
      <c r="S180" s="16"/>
      <c r="T180" s="14"/>
      <c r="U180" s="14"/>
    </row>
    <row r="181" customFormat="false" ht="12.8" hidden="false" customHeight="false" outlineLevel="0" collapsed="false">
      <c r="A181" s="7" t="n">
        <v>184</v>
      </c>
      <c r="B181" s="8" t="s">
        <v>269</v>
      </c>
      <c r="C181" s="9" t="n">
        <v>45072</v>
      </c>
      <c r="D181" s="9" t="s">
        <v>38</v>
      </c>
      <c r="E181" s="10" t="s">
        <v>91</v>
      </c>
      <c r="F181" s="11" t="s">
        <v>40</v>
      </c>
      <c r="G181" s="12"/>
      <c r="H181" s="9"/>
      <c r="I181" s="13" t="n">
        <v>30</v>
      </c>
      <c r="J181" s="13"/>
      <c r="K181" s="13"/>
      <c r="L181" s="13"/>
      <c r="M181" s="13"/>
      <c r="N181" s="13" t="n">
        <f aca="false">+I181+J181+L181+K181+M181</f>
        <v>30</v>
      </c>
      <c r="O181" s="14"/>
      <c r="P181" s="14" t="n">
        <f aca="false">ROUND(+O181-N181+Q181,2)</f>
        <v>-30</v>
      </c>
      <c r="Q181" s="15"/>
      <c r="R181" s="14"/>
      <c r="S181" s="16"/>
      <c r="T181" s="14"/>
      <c r="U181" s="14"/>
    </row>
    <row r="182" customFormat="false" ht="12.8" hidden="false" customHeight="false" outlineLevel="0" collapsed="false">
      <c r="A182" s="7" t="n">
        <v>185</v>
      </c>
      <c r="B182" s="8" t="s">
        <v>270</v>
      </c>
      <c r="C182" s="9" t="n">
        <v>45072</v>
      </c>
      <c r="D182" s="9" t="s">
        <v>38</v>
      </c>
      <c r="E182" s="10" t="s">
        <v>91</v>
      </c>
      <c r="F182" s="11" t="s">
        <v>40</v>
      </c>
      <c r="G182" s="12"/>
      <c r="H182" s="9"/>
      <c r="I182" s="13" t="n">
        <v>30</v>
      </c>
      <c r="J182" s="13"/>
      <c r="K182" s="13"/>
      <c r="L182" s="13"/>
      <c r="M182" s="13"/>
      <c r="N182" s="13" t="n">
        <f aca="false">+I182+J182+L182+K182+M182</f>
        <v>30</v>
      </c>
      <c r="O182" s="14" t="n">
        <v>30</v>
      </c>
      <c r="P182" s="14" t="n">
        <f aca="false">ROUND(+O182-N182+Q182,2)</f>
        <v>0</v>
      </c>
      <c r="Q182" s="15"/>
      <c r="R182" s="14"/>
      <c r="S182" s="16"/>
      <c r="T182" s="14"/>
      <c r="U182" s="14"/>
    </row>
  </sheetData>
  <autoFilter ref="A1:U182"/>
  <conditionalFormatting sqref="P2:Q182">
    <cfRule type="containsText" priority="2" operator="containsText" aboveAverage="0" equalAverage="0" bottom="0" percent="0" rank="0" text="NO" dxfId="3">
      <formula>NOT(ISERROR(SEARCH("NO",P2)))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Roman,Normal"&amp;12&amp;Kffffff&amp;A</oddHeader>
    <oddFooter>&amp;C&amp;"Times New Roman,Normal"&amp;12&amp;KffffffPágina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1070</TotalTime>
  <Application>LibreOffice/7.5.2.2$Windows_X86_64 LibreOffice_project/53bb9681a964705cf672590721dbc85eb4d0c3a2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2016-03-22T12:52:47Z</dcterms:created>
  <dc:creator>Rubén Jiménez</dc:creator>
  <dc:description/>
  <dc:language>es-ES</dc:language>
  <cp:lastModifiedBy/>
  <cp:lastPrinted>2022-08-31T10:32:58Z</cp:lastPrinted>
  <dcterms:modified xsi:type="dcterms:W3CDTF">2023-05-28T13:39:46Z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